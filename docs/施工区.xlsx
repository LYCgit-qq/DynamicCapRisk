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Local\DynamicCapRisk\docs\"/>
    </mc:Choice>
  </mc:AlternateContent>
  <xr:revisionPtr revIDLastSave="0" documentId="13_ncr:1_{85094B38-FE16-4C8A-B32F-DB8B7C478EEE}" xr6:coauthVersionLast="47" xr6:coauthVersionMax="47" xr10:uidLastSave="{00000000-0000-0000-0000-000000000000}"/>
  <bookViews>
    <workbookView xWindow="-98" yWindow="-98" windowWidth="21795" windowHeight="12975" activeTab="2" xr2:uid="{00000000-000D-0000-FFFF-FFFF00000000}"/>
  </bookViews>
  <sheets>
    <sheet name="Sheet1" sheetId="3" r:id="rId1"/>
    <sheet name="Sheet2" sheetId="2" r:id="rId2"/>
    <sheet name="Sheet3" sheetId="6" r:id="rId3"/>
    <sheet name="Sheet5" sheetId="5" r:id="rId4"/>
    <sheet name="Sheet4" sheetId="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12" i="2" l="1"/>
  <c r="AD13" i="2"/>
  <c r="AD14" i="2"/>
  <c r="AD15" i="2"/>
  <c r="AD16" i="2"/>
  <c r="AD11" i="2"/>
  <c r="AB12" i="2"/>
  <c r="AB13" i="2"/>
  <c r="AB14" i="2"/>
  <c r="AB15" i="2"/>
  <c r="AB16" i="2"/>
  <c r="AB11" i="2"/>
  <c r="Z12" i="2"/>
  <c r="Z13" i="2"/>
  <c r="Z14" i="2"/>
  <c r="Z15" i="2"/>
  <c r="Z16" i="2"/>
  <c r="Z11" i="2"/>
  <c r="AA11" i="2"/>
  <c r="AC11" i="2"/>
  <c r="AA12" i="2"/>
  <c r="AC12" i="2"/>
  <c r="AA13" i="2"/>
  <c r="AC13" i="2"/>
  <c r="AA14" i="2"/>
  <c r="AC14" i="2"/>
  <c r="AA15" i="2"/>
  <c r="AC15" i="2"/>
  <c r="AA16" i="2"/>
  <c r="AC16" i="2"/>
  <c r="Y12" i="2"/>
  <c r="Y13" i="2"/>
  <c r="Y14" i="2"/>
  <c r="Y15" i="2"/>
  <c r="Y16" i="2"/>
  <c r="Y11" i="2"/>
  <c r="D31" i="2"/>
  <c r="D37" i="6"/>
  <c r="C37" i="6"/>
  <c r="B37" i="6"/>
  <c r="H36" i="2"/>
  <c r="F36" i="2"/>
  <c r="D36" i="2"/>
  <c r="B36" i="2"/>
  <c r="H35" i="2"/>
  <c r="F35" i="2"/>
  <c r="D35" i="2"/>
  <c r="B35" i="2"/>
  <c r="H34" i="2"/>
  <c r="F34" i="2"/>
  <c r="D34" i="2"/>
  <c r="B34" i="2"/>
  <c r="H33" i="2"/>
  <c r="F33" i="2"/>
  <c r="D33" i="2"/>
  <c r="B33" i="2"/>
  <c r="H32" i="2"/>
  <c r="F32" i="2"/>
  <c r="D32" i="2"/>
  <c r="B32" i="2"/>
  <c r="F31" i="2"/>
  <c r="H31" i="2"/>
  <c r="B31" i="2"/>
  <c r="E5" i="6"/>
  <c r="H5" i="6"/>
  <c r="K5" i="6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H2" i="3"/>
  <c r="G2" i="3"/>
  <c r="F2" i="3"/>
  <c r="E2" i="3"/>
  <c r="D2" i="3"/>
  <c r="C2" i="3"/>
  <c r="B2" i="3"/>
  <c r="A2" i="3"/>
  <c r="B5" i="6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M2" i="3"/>
  <c r="L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2" i="3"/>
  <c r="E9" i="2"/>
  <c r="F9" i="2"/>
  <c r="E11" i="2"/>
  <c r="F11" i="2"/>
  <c r="D11" i="2"/>
  <c r="D9" i="2"/>
  <c r="F14" i="2"/>
  <c r="F10" i="2" s="1"/>
  <c r="E14" i="2"/>
  <c r="E10" i="2" s="1"/>
  <c r="D14" i="2"/>
  <c r="D10" i="2" s="1"/>
  <c r="G17" i="2"/>
</calcChain>
</file>

<file path=xl/sharedStrings.xml><?xml version="1.0" encoding="utf-8"?>
<sst xmlns="http://schemas.openxmlformats.org/spreadsheetml/2006/main" count="42" uniqueCount="34">
  <si>
    <t>编号</t>
    <phoneticPr fontId="1" type="noConversion"/>
  </si>
  <si>
    <t>012</t>
    <phoneticPr fontId="1" type="noConversion"/>
  </si>
  <si>
    <t>021</t>
    <phoneticPr fontId="1" type="noConversion"/>
  </si>
  <si>
    <t>102</t>
    <phoneticPr fontId="1" type="noConversion"/>
  </si>
  <si>
    <t>120</t>
    <phoneticPr fontId="1" type="noConversion"/>
  </si>
  <si>
    <t>201</t>
    <phoneticPr fontId="1" type="noConversion"/>
  </si>
  <si>
    <t>210</t>
    <phoneticPr fontId="1" type="noConversion"/>
  </si>
  <si>
    <t>总长</t>
    <phoneticPr fontId="1" type="noConversion"/>
  </si>
  <si>
    <t>施工区顺序</t>
    <phoneticPr fontId="1" type="noConversion"/>
  </si>
  <si>
    <t>自由路段与第一个施工区交界</t>
    <phoneticPr fontId="1" type="noConversion"/>
  </si>
  <si>
    <t>第一个和第二个交界</t>
    <phoneticPr fontId="1" type="noConversion"/>
  </si>
  <si>
    <t>第二个和第三个交界</t>
    <phoneticPr fontId="1" type="noConversion"/>
  </si>
  <si>
    <t>最后</t>
    <phoneticPr fontId="1" type="noConversion"/>
  </si>
  <si>
    <t>silab里的施工区长度</t>
    <phoneticPr fontId="1" type="noConversion"/>
  </si>
  <si>
    <t>自由路段</t>
    <phoneticPr fontId="1" type="noConversion"/>
  </si>
  <si>
    <t>标准施工区</t>
    <phoneticPr fontId="1" type="noConversion"/>
  </si>
  <si>
    <t>占一还一</t>
    <phoneticPr fontId="1" type="noConversion"/>
  </si>
  <si>
    <t>占而不还</t>
    <phoneticPr fontId="1" type="noConversion"/>
  </si>
  <si>
    <t>silab里的施工区起点</t>
    <phoneticPr fontId="1" type="noConversion"/>
  </si>
  <si>
    <t>silab里的分段总长</t>
    <phoneticPr fontId="1" type="noConversion"/>
  </si>
  <si>
    <t>silab里的施工区结束后长度</t>
    <phoneticPr fontId="1" type="noConversion"/>
  </si>
  <si>
    <t>施工区起点对应比例</t>
    <phoneticPr fontId="1" type="noConversion"/>
  </si>
  <si>
    <t>施工区长度对应比例</t>
    <phoneticPr fontId="1" type="noConversion"/>
  </si>
  <si>
    <t>施工区结束后长度对应比例</t>
    <phoneticPr fontId="1" type="noConversion"/>
  </si>
  <si>
    <t>类型</t>
    <phoneticPr fontId="1" type="noConversion"/>
  </si>
  <si>
    <t>类型1</t>
    <phoneticPr fontId="1" type="noConversion"/>
  </si>
  <si>
    <t>类型2</t>
    <phoneticPr fontId="1" type="noConversion"/>
  </si>
  <si>
    <t>类型3</t>
    <phoneticPr fontId="1" type="noConversion"/>
  </si>
  <si>
    <t>类型4</t>
    <phoneticPr fontId="1" type="noConversion"/>
  </si>
  <si>
    <t>自由路段</t>
  </si>
  <si>
    <t>标准施工区</t>
  </si>
  <si>
    <t>占一还一</t>
  </si>
  <si>
    <t>占而不还</t>
  </si>
  <si>
    <t>顺序记号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</si>
</sst>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color theme="0" tint="-0.249977111117893"/>
      <name val="等线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1" fontId="0" fillId="0" borderId="0" xfId="0" applyNumberFormat="1"/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0" fontId="0" fillId="2" borderId="0" xfId="0" applyFill="1"/>
    <xf numFmtId="0" fontId="3" fillId="0" borderId="0" xfId="0" applyFont="1"/>
    <xf numFmtId="0" fontId="0" fillId="3" borderId="0" xfId="0" applyFill="1"/>
    <xf numFmtId="176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Sheet3!$A$24:$O$24</c:f>
              <c:numCache>
                <c:formatCode>General</c:formatCode>
                <c:ptCount val="1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8.8000000000000007</c:v>
                </c:pt>
                <c:pt idx="10">
                  <c:v>9.5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  <c:pt idx="14">
                  <c:v>13</c:v>
                </c:pt>
              </c:numCache>
            </c:numRef>
          </c:xVal>
          <c:yVal>
            <c:numRef>
              <c:f>Sheet3!$A$25:$O$25</c:f>
              <c:numCache>
                <c:formatCode>General</c:formatCode>
                <c:ptCount val="15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3.2</c:v>
                </c:pt>
                <c:pt idx="6">
                  <c:v>4</c:v>
                </c:pt>
                <c:pt idx="7">
                  <c:v>3.5</c:v>
                </c:pt>
                <c:pt idx="8">
                  <c:v>10</c:v>
                </c:pt>
                <c:pt idx="9">
                  <c:v>11</c:v>
                </c:pt>
                <c:pt idx="10">
                  <c:v>9</c:v>
                </c:pt>
                <c:pt idx="11">
                  <c:v>5</c:v>
                </c:pt>
                <c:pt idx="12">
                  <c:v>7</c:v>
                </c:pt>
                <c:pt idx="13">
                  <c:v>3.7</c:v>
                </c:pt>
                <c:pt idx="14">
                  <c:v>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766-4CDB-AE57-16B6452D2F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3470975"/>
        <c:axId val="1893458015"/>
      </c:scatterChart>
      <c:valAx>
        <c:axId val="1893470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93458015"/>
        <c:crosses val="autoZero"/>
        <c:crossBetween val="midCat"/>
      </c:valAx>
      <c:valAx>
        <c:axId val="1893458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934709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Sheet3!$A$32:$M$32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4.5</c:v>
                </c:pt>
                <c:pt idx="6">
                  <c:v>5</c:v>
                </c:pt>
                <c:pt idx="7">
                  <c:v>5.5</c:v>
                </c:pt>
                <c:pt idx="8">
                  <c:v>6</c:v>
                </c:pt>
                <c:pt idx="9">
                  <c:v>7</c:v>
                </c:pt>
                <c:pt idx="10">
                  <c:v>7.5</c:v>
                </c:pt>
                <c:pt idx="11">
                  <c:v>8</c:v>
                </c:pt>
                <c:pt idx="12">
                  <c:v>8.5</c:v>
                </c:pt>
              </c:numCache>
            </c:numRef>
          </c:xVal>
          <c:yVal>
            <c:numRef>
              <c:f>Sheet3!$A$33:$M$33</c:f>
              <c:numCache>
                <c:formatCode>General</c:formatCode>
                <c:ptCount val="13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3</c:v>
                </c:pt>
                <c:pt idx="5">
                  <c:v>4</c:v>
                </c:pt>
                <c:pt idx="6">
                  <c:v>9</c:v>
                </c:pt>
                <c:pt idx="7">
                  <c:v>13</c:v>
                </c:pt>
                <c:pt idx="8">
                  <c:v>10</c:v>
                </c:pt>
                <c:pt idx="9">
                  <c:v>9.5</c:v>
                </c:pt>
                <c:pt idx="10">
                  <c:v>8</c:v>
                </c:pt>
                <c:pt idx="11">
                  <c:v>5</c:v>
                </c:pt>
                <c:pt idx="12">
                  <c:v>3.6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446-41BE-A697-34200B4243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3475775"/>
        <c:axId val="1893484415"/>
      </c:scatterChart>
      <c:valAx>
        <c:axId val="1893475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93484415"/>
        <c:crosses val="autoZero"/>
        <c:crossBetween val="midCat"/>
      </c:valAx>
      <c:valAx>
        <c:axId val="1893484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934757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Sheet3!$A$17:$K$17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5.5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</c:numCache>
            </c:numRef>
          </c:xVal>
          <c:yVal>
            <c:numRef>
              <c:f>Sheet3!$A$18:$K$18</c:f>
              <c:numCache>
                <c:formatCode>General</c:formatCode>
                <c:ptCount val="11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3</c:v>
                </c:pt>
                <c:pt idx="5">
                  <c:v>3.5</c:v>
                </c:pt>
                <c:pt idx="6">
                  <c:v>7</c:v>
                </c:pt>
                <c:pt idx="7">
                  <c:v>11</c:v>
                </c:pt>
                <c:pt idx="8">
                  <c:v>5</c:v>
                </c:pt>
                <c:pt idx="9">
                  <c:v>5</c:v>
                </c:pt>
                <c:pt idx="10">
                  <c:v>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6A3-4C33-A9C4-6B2D1AE396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1106015"/>
        <c:axId val="1901112735"/>
      </c:scatterChart>
      <c:valAx>
        <c:axId val="19011060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01112735"/>
        <c:crosses val="autoZero"/>
        <c:crossBetween val="midCat"/>
      </c:valAx>
      <c:valAx>
        <c:axId val="1901112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011060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5" Type="http://schemas.openxmlformats.org/officeDocument/2006/relationships/chart" Target="../charts/chart3.xml"/><Relationship Id="rId4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428065</xdr:colOff>
      <xdr:row>15</xdr:row>
      <xdr:rowOff>148814</xdr:rowOff>
    </xdr:from>
    <xdr:ext cx="4164811" cy="899159"/>
    <xdr:pic>
      <xdr:nvPicPr>
        <xdr:cNvPr id="2" name="图片 1">
          <a:extLst>
            <a:ext uri="{FF2B5EF4-FFF2-40B4-BE49-F238E27FC236}">
              <a16:creationId xmlns:a16="http://schemas.microsoft.com/office/drawing/2014/main" id="{283791D7-BEAF-44E3-9D33-275BD58105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46159" y="2838226"/>
          <a:ext cx="4164811" cy="89915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518160</xdr:colOff>
      <xdr:row>3</xdr:row>
      <xdr:rowOff>15240</xdr:rowOff>
    </xdr:from>
    <xdr:to>
      <xdr:col>23</xdr:col>
      <xdr:colOff>365760</xdr:colOff>
      <xdr:row>6</xdr:row>
      <xdr:rowOff>175260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66173934-B280-B6AB-46B0-6BA53740AEE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7455"/>
        <a:stretch/>
      </xdr:blipFill>
      <xdr:spPr bwMode="auto">
        <a:xfrm>
          <a:off x="8442960" y="541020"/>
          <a:ext cx="5943600" cy="68580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22</xdr:col>
      <xdr:colOff>342900</xdr:colOff>
      <xdr:row>17</xdr:row>
      <xdr:rowOff>160020</xdr:rowOff>
    </xdr:from>
    <xdr:to>
      <xdr:col>32</xdr:col>
      <xdr:colOff>495300</xdr:colOff>
      <xdr:row>37</xdr:row>
      <xdr:rowOff>109349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2121017C-99F6-4438-BB26-F1BD3A5AFA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754100" y="3672840"/>
          <a:ext cx="6248400" cy="3454529"/>
        </a:xfrm>
        <a:prstGeom prst="rect">
          <a:avLst/>
        </a:prstGeom>
      </xdr:spPr>
    </xdr:pic>
    <xdr:clientData/>
  </xdr:twoCellAnchor>
  <xdr:twoCellAnchor>
    <xdr:from>
      <xdr:col>14</xdr:col>
      <xdr:colOff>175260</xdr:colOff>
      <xdr:row>19</xdr:row>
      <xdr:rowOff>137160</xdr:rowOff>
    </xdr:from>
    <xdr:to>
      <xdr:col>21</xdr:col>
      <xdr:colOff>480060</xdr:colOff>
      <xdr:row>34</xdr:row>
      <xdr:rowOff>26670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7E1746A5-BC22-53A2-E587-53BF488160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243840</xdr:colOff>
      <xdr:row>35</xdr:row>
      <xdr:rowOff>156210</xdr:rowOff>
    </xdr:from>
    <xdr:to>
      <xdr:col>21</xdr:col>
      <xdr:colOff>548640</xdr:colOff>
      <xdr:row>51</xdr:row>
      <xdr:rowOff>95250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C9C2CA99-5F5A-3368-0FAE-49A8A03579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205740</xdr:colOff>
      <xdr:row>6</xdr:row>
      <xdr:rowOff>26670</xdr:rowOff>
    </xdr:from>
    <xdr:to>
      <xdr:col>21</xdr:col>
      <xdr:colOff>510540</xdr:colOff>
      <xdr:row>18</xdr:row>
      <xdr:rowOff>133350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A26EA5E5-A60B-D269-9C37-3D50C30BED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82C8E-3641-4621-8D71-9DBD3B913788}">
  <dimension ref="A1:R68"/>
  <sheetViews>
    <sheetView topLeftCell="A10" zoomScale="85" zoomScaleNormal="85" workbookViewId="0">
      <selection activeCell="G23" sqref="G23"/>
    </sheetView>
  </sheetViews>
  <sheetFormatPr defaultRowHeight="13.9" x14ac:dyDescent="0.4"/>
  <sheetData>
    <row r="1" spans="1:18" x14ac:dyDescent="0.4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</row>
    <row r="2" spans="1:18" x14ac:dyDescent="0.4">
      <c r="A2">
        <f>VLOOKUP($I2, Sheet2!$A$1:$I$6, 2)</f>
        <v>207</v>
      </c>
      <c r="B2">
        <f>VLOOKUP($I2, Sheet2!$A$1:$I$6, 3)</f>
        <v>621</v>
      </c>
      <c r="C2">
        <f>VLOOKUP($I2, Sheet2!$A$1:$I$6, 4)</f>
        <v>770.38862559241704</v>
      </c>
      <c r="D2">
        <f>VLOOKUP($I2, Sheet2!$A$1:$I$6, 5)</f>
        <v>1176.2511848341233</v>
      </c>
      <c r="E2">
        <f>VLOOKUP($I2, Sheet2!$A$1:$I$6, 6)</f>
        <v>1323.8</v>
      </c>
      <c r="F2">
        <f>VLOOKUP($I2, Sheet2!$A$1:$I$6, 7)</f>
        <v>1926.6666666666699</v>
      </c>
      <c r="G2">
        <f>VLOOKUP($I2, Sheet2!$A$1:$I$6, 8)</f>
        <v>2111.6666666666665</v>
      </c>
      <c r="H2">
        <f>VLOOKUP($I2, Sheet2!$A$1:$I$6, 9)</f>
        <v>2715.9</v>
      </c>
      <c r="I2">
        <v>6</v>
      </c>
      <c r="J2">
        <v>0</v>
      </c>
      <c r="K2">
        <f>VLOOKUP(I2, Sheet5!$A$1:$D$6, 2)</f>
        <v>3</v>
      </c>
      <c r="L2">
        <f>VLOOKUP(I2, Sheet5!$A$1:$D$6, 3)</f>
        <v>2</v>
      </c>
      <c r="M2">
        <f>VLOOKUP(I2, Sheet5!$A$1:$D$6, 4)</f>
        <v>1</v>
      </c>
    </row>
    <row r="3" spans="1:18" x14ac:dyDescent="0.4">
      <c r="A3">
        <f>VLOOKUP($I3, Sheet2!$A$1:$I$6, 2)</f>
        <v>126.33333333333333</v>
      </c>
      <c r="B3">
        <f>VLOOKUP($I3, Sheet2!$A$1:$I$6, 3)</f>
        <v>379</v>
      </c>
      <c r="C3">
        <f>VLOOKUP($I3, Sheet2!$A$1:$I$6, 4)</f>
        <v>707.66666666666663</v>
      </c>
      <c r="D3">
        <f>VLOOKUP($I3, Sheet2!$A$1:$I$6, 5)</f>
        <v>1322.76</v>
      </c>
      <c r="E3">
        <f>VLOOKUP($I3, Sheet2!$A$1:$I$6, 6)</f>
        <v>1626.0402843601896</v>
      </c>
      <c r="F3">
        <f>VLOOKUP($I3, Sheet2!$A$1:$I$6, 7)</f>
        <v>2059.5687203791467</v>
      </c>
      <c r="G3">
        <f>VLOOKUP($I3, Sheet2!$A$1:$I$6, 8)</f>
        <v>2571.5209302325584</v>
      </c>
      <c r="H3">
        <f>VLOOKUP($I3, Sheet2!$A$1:$I$6, 9)</f>
        <v>3031.7829457364342</v>
      </c>
      <c r="I3">
        <v>2</v>
      </c>
      <c r="J3">
        <v>0</v>
      </c>
      <c r="K3">
        <f>VLOOKUP(I3, Sheet5!$A$1:$D$6, 2)</f>
        <v>1</v>
      </c>
      <c r="L3">
        <f>VLOOKUP(I3, Sheet5!$A$1:$D$6, 3)</f>
        <v>3</v>
      </c>
      <c r="M3">
        <f>VLOOKUP(I3, Sheet5!$A$1:$D$6, 4)</f>
        <v>2</v>
      </c>
    </row>
    <row r="4" spans="1:18" x14ac:dyDescent="0.4">
      <c r="A4">
        <f>VLOOKUP($I4, Sheet2!$A$1:$I$6, 2)</f>
        <v>207</v>
      </c>
      <c r="B4">
        <f>VLOOKUP($I4, Sheet2!$A$1:$I$6, 3)</f>
        <v>621</v>
      </c>
      <c r="C4">
        <f>VLOOKUP($I4, Sheet2!$A$1:$I$6, 4)</f>
        <v>770.38862559241704</v>
      </c>
      <c r="D4">
        <f>VLOOKUP($I4, Sheet2!$A$1:$I$6, 5)</f>
        <v>1176.2511848341233</v>
      </c>
      <c r="E4">
        <f>VLOOKUP($I4, Sheet2!$A$1:$I$6, 6)</f>
        <v>1323.8</v>
      </c>
      <c r="F4">
        <f>VLOOKUP($I4, Sheet2!$A$1:$I$6, 7)</f>
        <v>1926.6666666666699</v>
      </c>
      <c r="G4">
        <f>VLOOKUP($I4, Sheet2!$A$1:$I$6, 8)</f>
        <v>2111.6666666666665</v>
      </c>
      <c r="H4">
        <f>VLOOKUP($I4, Sheet2!$A$1:$I$6, 9)</f>
        <v>2715.9</v>
      </c>
      <c r="I4">
        <v>6</v>
      </c>
      <c r="J4">
        <v>0</v>
      </c>
      <c r="K4">
        <f>VLOOKUP(I4, Sheet5!$A$1:$D$6, 2)</f>
        <v>3</v>
      </c>
      <c r="L4">
        <f>VLOOKUP(I4, Sheet5!$A$1:$D$6, 3)</f>
        <v>2</v>
      </c>
      <c r="M4">
        <f>VLOOKUP(I4, Sheet5!$A$1:$D$6, 4)</f>
        <v>1</v>
      </c>
    </row>
    <row r="5" spans="1:18" x14ac:dyDescent="0.4">
      <c r="A5">
        <f>VLOOKUP($I5, Sheet2!$A$1:$I$6, 2)</f>
        <v>126.33333333333333</v>
      </c>
      <c r="B5">
        <f>VLOOKUP($I5, Sheet2!$A$1:$I$6, 3)</f>
        <v>379</v>
      </c>
      <c r="C5">
        <f>VLOOKUP($I5, Sheet2!$A$1:$I$6, 4)</f>
        <v>740.11111111111109</v>
      </c>
      <c r="D5">
        <f>VLOOKUP($I5, Sheet2!$A$1:$I$6, 5)</f>
        <v>1384.5666666666666</v>
      </c>
      <c r="E5">
        <f>VLOOKUP($I5, Sheet2!$A$1:$I$6, 6)</f>
        <v>1834.68837209302</v>
      </c>
      <c r="F5">
        <f>VLOOKUP($I5, Sheet2!$A$1:$I$6, 7)</f>
        <v>2483.0465116279101</v>
      </c>
      <c r="G5">
        <f>VLOOKUP($I5, Sheet2!$A$1:$I$6, 8)</f>
        <v>2813.8447867298578</v>
      </c>
      <c r="H5">
        <f>VLOOKUP($I5, Sheet2!$A$1:$I$6, 9)</f>
        <v>3380.5734597156397</v>
      </c>
      <c r="I5">
        <v>1</v>
      </c>
      <c r="J5">
        <v>0</v>
      </c>
      <c r="K5">
        <f>VLOOKUP(I5, Sheet5!$A$1:$D$6, 2)</f>
        <v>1</v>
      </c>
      <c r="L5">
        <f>VLOOKUP(I5, Sheet5!$A$1:$D$6, 3)</f>
        <v>2</v>
      </c>
      <c r="M5">
        <f>VLOOKUP(I5, Sheet5!$A$1:$D$6, 4)</f>
        <v>3</v>
      </c>
    </row>
    <row r="6" spans="1:18" x14ac:dyDescent="0.4">
      <c r="A6">
        <f>VLOOKUP($I6, Sheet2!$A$1:$I$6, 2)</f>
        <v>169.66666666666666</v>
      </c>
      <c r="B6">
        <f>VLOOKUP($I6, Sheet2!$A$1:$I$6, 3)</f>
        <v>509</v>
      </c>
      <c r="C6">
        <f>VLOOKUP($I6, Sheet2!$A$1:$I$6, 4)</f>
        <v>755.94883720930204</v>
      </c>
      <c r="D6">
        <f>VLOOKUP($I6, Sheet2!$A$1:$I$6, 5)</f>
        <v>1359.93798449612</v>
      </c>
      <c r="E6">
        <f>VLOOKUP($I6, Sheet2!$A$1:$I$6, 6)</f>
        <v>1785.8888888888887</v>
      </c>
      <c r="F6">
        <f>VLOOKUP($I6, Sheet2!$A$1:$I$6, 7)</f>
        <v>2576.7533333333336</v>
      </c>
      <c r="G6">
        <f>VLOOKUP($I6, Sheet2!$A$1:$I$6, 8)</f>
        <v>2990.5497630331752</v>
      </c>
      <c r="H6">
        <f>VLOOKUP($I6, Sheet2!$A$1:$I$6, 9)</f>
        <v>3453.5260663507111</v>
      </c>
      <c r="I6">
        <v>3</v>
      </c>
      <c r="J6">
        <v>0</v>
      </c>
      <c r="K6">
        <f>VLOOKUP(I6, Sheet5!$A$1:$D$6, 2)</f>
        <v>2</v>
      </c>
      <c r="L6">
        <f>VLOOKUP(I6, Sheet5!$A$1:$D$6, 3)</f>
        <v>1</v>
      </c>
      <c r="M6">
        <f>VLOOKUP(I6, Sheet5!$A$1:$D$6, 4)</f>
        <v>3</v>
      </c>
    </row>
    <row r="7" spans="1:18" x14ac:dyDescent="0.4">
      <c r="A7">
        <f>VLOOKUP($I7, Sheet2!$A$1:$I$6, 2)</f>
        <v>169.66666666666666</v>
      </c>
      <c r="B7">
        <f>VLOOKUP($I7, Sheet2!$A$1:$I$6, 3)</f>
        <v>509</v>
      </c>
      <c r="C7">
        <f>VLOOKUP($I7, Sheet2!$A$1:$I$6, 4)</f>
        <v>755.94883720930204</v>
      </c>
      <c r="D7">
        <f>VLOOKUP($I7, Sheet2!$A$1:$I$6, 5)</f>
        <v>1359.93798449612</v>
      </c>
      <c r="E7">
        <f>VLOOKUP($I7, Sheet2!$A$1:$I$6, 6)</f>
        <v>1785.8888888888887</v>
      </c>
      <c r="F7">
        <f>VLOOKUP($I7, Sheet2!$A$1:$I$6, 7)</f>
        <v>2576.7533333333336</v>
      </c>
      <c r="G7">
        <f>VLOOKUP($I7, Sheet2!$A$1:$I$6, 8)</f>
        <v>2990.5497630331752</v>
      </c>
      <c r="H7">
        <f>VLOOKUP($I7, Sheet2!$A$1:$I$6, 9)</f>
        <v>3453.5260663507111</v>
      </c>
      <c r="I7">
        <v>3</v>
      </c>
      <c r="J7">
        <v>0</v>
      </c>
      <c r="K7">
        <f>VLOOKUP(I7, Sheet5!$A$1:$D$6, 2)</f>
        <v>2</v>
      </c>
      <c r="L7">
        <f>VLOOKUP(I7, Sheet5!$A$1:$D$6, 3)</f>
        <v>1</v>
      </c>
      <c r="M7">
        <f>VLOOKUP(I7, Sheet5!$A$1:$D$6, 4)</f>
        <v>3</v>
      </c>
      <c r="N7" s="6"/>
      <c r="O7" s="6"/>
      <c r="P7" s="6"/>
      <c r="Q7" s="6"/>
      <c r="R7" s="6"/>
    </row>
    <row r="8" spans="1:18" x14ac:dyDescent="0.4">
      <c r="A8">
        <f>VLOOKUP($I8, Sheet2!$A$1:$I$6, 2)</f>
        <v>126.33333333333333</v>
      </c>
      <c r="B8">
        <f>VLOOKUP($I8, Sheet2!$A$1:$I$6, 3)</f>
        <v>379</v>
      </c>
      <c r="C8">
        <f>VLOOKUP($I8, Sheet2!$A$1:$I$6, 4)</f>
        <v>740.11111111111109</v>
      </c>
      <c r="D8">
        <f>VLOOKUP($I8, Sheet2!$A$1:$I$6, 5)</f>
        <v>1384.5666666666666</v>
      </c>
      <c r="E8">
        <f>VLOOKUP($I8, Sheet2!$A$1:$I$6, 6)</f>
        <v>1834.68837209302</v>
      </c>
      <c r="F8">
        <f>VLOOKUP($I8, Sheet2!$A$1:$I$6, 7)</f>
        <v>2483.0465116279101</v>
      </c>
      <c r="G8">
        <f>VLOOKUP($I8, Sheet2!$A$1:$I$6, 8)</f>
        <v>2813.8447867298578</v>
      </c>
      <c r="H8">
        <f>VLOOKUP($I8, Sheet2!$A$1:$I$6, 9)</f>
        <v>3380.5734597156397</v>
      </c>
      <c r="I8">
        <v>1</v>
      </c>
      <c r="J8">
        <v>0</v>
      </c>
      <c r="K8">
        <f>VLOOKUP(I8, Sheet5!$A$1:$D$6, 2)</f>
        <v>1</v>
      </c>
      <c r="L8">
        <f>VLOOKUP(I8, Sheet5!$A$1:$D$6, 3)</f>
        <v>2</v>
      </c>
      <c r="M8">
        <f>VLOOKUP(I8, Sheet5!$A$1:$D$6, 4)</f>
        <v>3</v>
      </c>
      <c r="N8" s="6"/>
      <c r="O8" s="6"/>
      <c r="P8" s="6"/>
      <c r="Q8" s="6"/>
      <c r="R8" s="6"/>
    </row>
    <row r="9" spans="1:18" x14ac:dyDescent="0.4">
      <c r="A9">
        <f>VLOOKUP($I9, Sheet2!$A$1:$I$6, 2)</f>
        <v>207</v>
      </c>
      <c r="B9">
        <f>VLOOKUP($I9, Sheet2!$A$1:$I$6, 3)</f>
        <v>621</v>
      </c>
      <c r="C9">
        <f>VLOOKUP($I9, Sheet2!$A$1:$I$6, 4)</f>
        <v>770.38862559241704</v>
      </c>
      <c r="D9">
        <f>VLOOKUP($I9, Sheet2!$A$1:$I$6, 5)</f>
        <v>1176.2511848341233</v>
      </c>
      <c r="E9">
        <f>VLOOKUP($I9, Sheet2!$A$1:$I$6, 6)</f>
        <v>1323.8</v>
      </c>
      <c r="F9">
        <f>VLOOKUP($I9, Sheet2!$A$1:$I$6, 7)</f>
        <v>1926.6666666666699</v>
      </c>
      <c r="G9">
        <f>VLOOKUP($I9, Sheet2!$A$1:$I$6, 8)</f>
        <v>2111.6666666666665</v>
      </c>
      <c r="H9">
        <f>VLOOKUP($I9, Sheet2!$A$1:$I$6, 9)</f>
        <v>2715.9</v>
      </c>
      <c r="I9">
        <v>6</v>
      </c>
      <c r="J9">
        <v>0</v>
      </c>
      <c r="K9">
        <f>VLOOKUP(I9, Sheet5!$A$1:$D$6, 2)</f>
        <v>3</v>
      </c>
      <c r="L9">
        <f>VLOOKUP(I9, Sheet5!$A$1:$D$6, 3)</f>
        <v>2</v>
      </c>
      <c r="M9">
        <f>VLOOKUP(I9, Sheet5!$A$1:$D$6, 4)</f>
        <v>1</v>
      </c>
      <c r="N9" s="6"/>
      <c r="O9" s="6"/>
      <c r="P9" s="6"/>
      <c r="Q9" s="6"/>
      <c r="R9" s="6"/>
    </row>
    <row r="10" spans="1:18" x14ac:dyDescent="0.4">
      <c r="A10">
        <f>VLOOKUP($I10, Sheet2!$A$1:$I$6, 2)</f>
        <v>169.66666666666666</v>
      </c>
      <c r="B10">
        <f>VLOOKUP($I10, Sheet2!$A$1:$I$6, 3)</f>
        <v>509</v>
      </c>
      <c r="C10">
        <f>VLOOKUP($I10, Sheet2!$A$1:$I$6, 4)</f>
        <v>755.94883720930204</v>
      </c>
      <c r="D10">
        <f>VLOOKUP($I10, Sheet2!$A$1:$I$6, 5)</f>
        <v>1359.93798449612</v>
      </c>
      <c r="E10">
        <f>VLOOKUP($I10, Sheet2!$A$1:$I$6, 6)</f>
        <v>1785.8888888888887</v>
      </c>
      <c r="F10">
        <f>VLOOKUP($I10, Sheet2!$A$1:$I$6, 7)</f>
        <v>2576.7533333333336</v>
      </c>
      <c r="G10">
        <f>VLOOKUP($I10, Sheet2!$A$1:$I$6, 8)</f>
        <v>2990.5497630331752</v>
      </c>
      <c r="H10">
        <f>VLOOKUP($I10, Sheet2!$A$1:$I$6, 9)</f>
        <v>3453.5260663507111</v>
      </c>
      <c r="I10">
        <v>3</v>
      </c>
      <c r="J10">
        <v>0</v>
      </c>
      <c r="K10">
        <f>VLOOKUP(I10, Sheet5!$A$1:$D$6, 2)</f>
        <v>2</v>
      </c>
      <c r="L10">
        <f>VLOOKUP(I10, Sheet5!$A$1:$D$6, 3)</f>
        <v>1</v>
      </c>
      <c r="M10">
        <f>VLOOKUP(I10, Sheet5!$A$1:$D$6, 4)</f>
        <v>3</v>
      </c>
      <c r="N10" s="6"/>
      <c r="O10" s="6"/>
      <c r="P10" s="6"/>
      <c r="Q10" s="6"/>
      <c r="R10" s="6"/>
    </row>
    <row r="11" spans="1:18" x14ac:dyDescent="0.4">
      <c r="A11">
        <f>VLOOKUP($I11, Sheet2!$A$1:$I$6, 2)</f>
        <v>126.33333333333333</v>
      </c>
      <c r="B11">
        <f>VLOOKUP($I11, Sheet2!$A$1:$I$6, 3)</f>
        <v>379</v>
      </c>
      <c r="C11">
        <f>VLOOKUP($I11, Sheet2!$A$1:$I$6, 4)</f>
        <v>740.11111111111109</v>
      </c>
      <c r="D11">
        <f>VLOOKUP($I11, Sheet2!$A$1:$I$6, 5)</f>
        <v>1384.5666666666666</v>
      </c>
      <c r="E11">
        <f>VLOOKUP($I11, Sheet2!$A$1:$I$6, 6)</f>
        <v>1834.68837209302</v>
      </c>
      <c r="F11">
        <f>VLOOKUP($I11, Sheet2!$A$1:$I$6, 7)</f>
        <v>2483.0465116279101</v>
      </c>
      <c r="G11">
        <f>VLOOKUP($I11, Sheet2!$A$1:$I$6, 8)</f>
        <v>2813.8447867298578</v>
      </c>
      <c r="H11">
        <f>VLOOKUP($I11, Sheet2!$A$1:$I$6, 9)</f>
        <v>3380.5734597156397</v>
      </c>
      <c r="I11">
        <v>1</v>
      </c>
      <c r="J11">
        <v>0</v>
      </c>
      <c r="K11">
        <f>VLOOKUP(I11, Sheet5!$A$1:$D$6, 2)</f>
        <v>1</v>
      </c>
      <c r="L11">
        <f>VLOOKUP(I11, Sheet5!$A$1:$D$6, 3)</f>
        <v>2</v>
      </c>
      <c r="M11">
        <f>VLOOKUP(I11, Sheet5!$A$1:$D$6, 4)</f>
        <v>3</v>
      </c>
      <c r="N11" s="6"/>
      <c r="O11" s="6"/>
      <c r="P11" s="6"/>
      <c r="Q11" s="6"/>
      <c r="R11" s="6"/>
    </row>
    <row r="12" spans="1:18" x14ac:dyDescent="0.4">
      <c r="A12">
        <f>VLOOKUP($I12, Sheet2!$A$1:$I$6, 2)</f>
        <v>207</v>
      </c>
      <c r="B12">
        <f>VLOOKUP($I12, Sheet2!$A$1:$I$6, 3)</f>
        <v>621</v>
      </c>
      <c r="C12">
        <f>VLOOKUP($I12, Sheet2!$A$1:$I$6, 4)</f>
        <v>770.38862559241704</v>
      </c>
      <c r="D12">
        <f>VLOOKUP($I12, Sheet2!$A$1:$I$6, 5)</f>
        <v>1176.2511848341233</v>
      </c>
      <c r="E12">
        <f>VLOOKUP($I12, Sheet2!$A$1:$I$6, 6)</f>
        <v>1323.8</v>
      </c>
      <c r="F12">
        <f>VLOOKUP($I12, Sheet2!$A$1:$I$6, 7)</f>
        <v>1926.6666666666699</v>
      </c>
      <c r="G12">
        <f>VLOOKUP($I12, Sheet2!$A$1:$I$6, 8)</f>
        <v>2111.6666666666665</v>
      </c>
      <c r="H12">
        <f>VLOOKUP($I12, Sheet2!$A$1:$I$6, 9)</f>
        <v>2715.9</v>
      </c>
      <c r="I12">
        <v>6</v>
      </c>
      <c r="J12">
        <v>0</v>
      </c>
      <c r="K12">
        <f>VLOOKUP(I12, Sheet5!$A$1:$D$6, 2)</f>
        <v>3</v>
      </c>
      <c r="L12">
        <f>VLOOKUP(I12, Sheet5!$A$1:$D$6, 3)</f>
        <v>2</v>
      </c>
      <c r="M12">
        <f>VLOOKUP(I12, Sheet5!$A$1:$D$6, 4)</f>
        <v>1</v>
      </c>
      <c r="N12" s="6"/>
      <c r="O12" s="6"/>
      <c r="P12" s="6"/>
      <c r="Q12" s="6"/>
      <c r="R12" s="6"/>
    </row>
    <row r="13" spans="1:18" x14ac:dyDescent="0.4">
      <c r="A13">
        <f>VLOOKUP($I13, Sheet2!$A$1:$I$6, 2)</f>
        <v>207</v>
      </c>
      <c r="B13">
        <f>VLOOKUP($I13, Sheet2!$A$1:$I$6, 3)</f>
        <v>621</v>
      </c>
      <c r="C13">
        <f>VLOOKUP($I13, Sheet2!$A$1:$I$6, 4)</f>
        <v>709.79620853080598</v>
      </c>
      <c r="D13">
        <f>VLOOKUP($I13, Sheet2!$A$1:$I$6, 5)</f>
        <v>1111.4170616113699</v>
      </c>
      <c r="E13">
        <f>VLOOKUP($I13, Sheet2!$A$1:$I$6, 6)</f>
        <v>1345.2222222222222</v>
      </c>
      <c r="F13">
        <f>VLOOKUP($I13, Sheet2!$A$1:$I$6, 7)</f>
        <v>1891.1333333333334</v>
      </c>
      <c r="G13">
        <f>VLOOKUP($I13, Sheet2!$A$1:$I$6, 8)</f>
        <v>2310.6465116279101</v>
      </c>
      <c r="H13">
        <f>VLOOKUP($I13, Sheet2!$A$1:$I$6, 9)</f>
        <v>2861.9806201550387</v>
      </c>
      <c r="I13">
        <v>5</v>
      </c>
      <c r="J13">
        <v>0</v>
      </c>
      <c r="K13">
        <f>VLOOKUP(I13, Sheet5!$A$1:$D$6, 2)</f>
        <v>3</v>
      </c>
      <c r="L13">
        <f>VLOOKUP(I13, Sheet5!$A$1:$D$6, 3)</f>
        <v>1</v>
      </c>
      <c r="M13">
        <f>VLOOKUP(I13, Sheet5!$A$1:$D$6, 4)</f>
        <v>2</v>
      </c>
    </row>
    <row r="14" spans="1:18" x14ac:dyDescent="0.4">
      <c r="A14">
        <f>VLOOKUP($I14, Sheet2!$A$1:$I$6, 2)</f>
        <v>207</v>
      </c>
      <c r="B14">
        <f>VLOOKUP($I14, Sheet2!$A$1:$I$6, 3)</f>
        <v>621</v>
      </c>
      <c r="C14">
        <f>VLOOKUP($I14, Sheet2!$A$1:$I$6, 4)</f>
        <v>770.38862559241704</v>
      </c>
      <c r="D14">
        <f>VLOOKUP($I14, Sheet2!$A$1:$I$6, 5)</f>
        <v>1176.2511848341233</v>
      </c>
      <c r="E14">
        <f>VLOOKUP($I14, Sheet2!$A$1:$I$6, 6)</f>
        <v>1323.8</v>
      </c>
      <c r="F14">
        <f>VLOOKUP($I14, Sheet2!$A$1:$I$6, 7)</f>
        <v>1926.6666666666699</v>
      </c>
      <c r="G14">
        <f>VLOOKUP($I14, Sheet2!$A$1:$I$6, 8)</f>
        <v>2111.6666666666665</v>
      </c>
      <c r="H14">
        <f>VLOOKUP($I14, Sheet2!$A$1:$I$6, 9)</f>
        <v>2715.9</v>
      </c>
      <c r="I14">
        <v>6</v>
      </c>
      <c r="J14">
        <v>0</v>
      </c>
      <c r="K14">
        <f>VLOOKUP(I14, Sheet5!$A$1:$D$6, 2)</f>
        <v>3</v>
      </c>
      <c r="L14">
        <f>VLOOKUP(I14, Sheet5!$A$1:$D$6, 3)</f>
        <v>2</v>
      </c>
      <c r="M14">
        <f>VLOOKUP(I14, Sheet5!$A$1:$D$6, 4)</f>
        <v>1</v>
      </c>
    </row>
    <row r="15" spans="1:18" x14ac:dyDescent="0.4">
      <c r="A15">
        <f>VLOOKUP($I15, Sheet2!$A$1:$I$6, 2)</f>
        <v>169.66666666666666</v>
      </c>
      <c r="B15">
        <f>VLOOKUP($I15, Sheet2!$A$1:$I$6, 3)</f>
        <v>509</v>
      </c>
      <c r="C15">
        <f>VLOOKUP($I15, Sheet2!$A$1:$I$6, 4)</f>
        <v>755.94883720930204</v>
      </c>
      <c r="D15">
        <f>VLOOKUP($I15, Sheet2!$A$1:$I$6, 5)</f>
        <v>1359.93798449612</v>
      </c>
      <c r="E15">
        <f>VLOOKUP($I15, Sheet2!$A$1:$I$6, 6)</f>
        <v>1785.8888888888887</v>
      </c>
      <c r="F15">
        <f>VLOOKUP($I15, Sheet2!$A$1:$I$6, 7)</f>
        <v>2576.7533333333336</v>
      </c>
      <c r="G15">
        <f>VLOOKUP($I15, Sheet2!$A$1:$I$6, 8)</f>
        <v>2990.5497630331752</v>
      </c>
      <c r="H15">
        <f>VLOOKUP($I15, Sheet2!$A$1:$I$6, 9)</f>
        <v>3453.5260663507111</v>
      </c>
      <c r="I15">
        <v>3</v>
      </c>
      <c r="J15">
        <v>0</v>
      </c>
      <c r="K15">
        <f>VLOOKUP(I15, Sheet5!$A$1:$D$6, 2)</f>
        <v>2</v>
      </c>
      <c r="L15">
        <f>VLOOKUP(I15, Sheet5!$A$1:$D$6, 3)</f>
        <v>1</v>
      </c>
      <c r="M15">
        <f>VLOOKUP(I15, Sheet5!$A$1:$D$6, 4)</f>
        <v>3</v>
      </c>
    </row>
    <row r="16" spans="1:18" x14ac:dyDescent="0.4">
      <c r="A16">
        <f>VLOOKUP($I16, Sheet2!$A$1:$I$6, 2)</f>
        <v>126.33333333333333</v>
      </c>
      <c r="B16">
        <f>VLOOKUP($I16, Sheet2!$A$1:$I$6, 3)</f>
        <v>379</v>
      </c>
      <c r="C16">
        <f>VLOOKUP($I16, Sheet2!$A$1:$I$6, 4)</f>
        <v>740.11111111111109</v>
      </c>
      <c r="D16">
        <f>VLOOKUP($I16, Sheet2!$A$1:$I$6, 5)</f>
        <v>1384.5666666666666</v>
      </c>
      <c r="E16">
        <f>VLOOKUP($I16, Sheet2!$A$1:$I$6, 6)</f>
        <v>1834.68837209302</v>
      </c>
      <c r="F16">
        <f>VLOOKUP($I16, Sheet2!$A$1:$I$6, 7)</f>
        <v>2483.0465116279101</v>
      </c>
      <c r="G16">
        <f>VLOOKUP($I16, Sheet2!$A$1:$I$6, 8)</f>
        <v>2813.8447867298578</v>
      </c>
      <c r="H16">
        <f>VLOOKUP($I16, Sheet2!$A$1:$I$6, 9)</f>
        <v>3380.5734597156397</v>
      </c>
      <c r="I16">
        <v>1</v>
      </c>
      <c r="J16">
        <v>0</v>
      </c>
      <c r="K16">
        <f>VLOOKUP(I16, Sheet5!$A$1:$D$6, 2)</f>
        <v>1</v>
      </c>
      <c r="L16">
        <f>VLOOKUP(I16, Sheet5!$A$1:$D$6, 3)</f>
        <v>2</v>
      </c>
      <c r="M16">
        <f>VLOOKUP(I16, Sheet5!$A$1:$D$6, 4)</f>
        <v>3</v>
      </c>
    </row>
    <row r="17" spans="1:13" x14ac:dyDescent="0.4">
      <c r="A17">
        <f>VLOOKUP($I17, Sheet2!$A$1:$I$6, 2)</f>
        <v>207</v>
      </c>
      <c r="B17">
        <f>VLOOKUP($I17, Sheet2!$A$1:$I$6, 3)</f>
        <v>621</v>
      </c>
      <c r="C17">
        <f>VLOOKUP($I17, Sheet2!$A$1:$I$6, 4)</f>
        <v>709.79620853080598</v>
      </c>
      <c r="D17">
        <f>VLOOKUP($I17, Sheet2!$A$1:$I$6, 5)</f>
        <v>1111.4170616113699</v>
      </c>
      <c r="E17">
        <f>VLOOKUP($I17, Sheet2!$A$1:$I$6, 6)</f>
        <v>1345.2222222222222</v>
      </c>
      <c r="F17">
        <f>VLOOKUP($I17, Sheet2!$A$1:$I$6, 7)</f>
        <v>1891.1333333333334</v>
      </c>
      <c r="G17">
        <f>VLOOKUP($I17, Sheet2!$A$1:$I$6, 8)</f>
        <v>2310.6465116279101</v>
      </c>
      <c r="H17">
        <f>VLOOKUP($I17, Sheet2!$A$1:$I$6, 9)</f>
        <v>2861.9806201550387</v>
      </c>
      <c r="I17">
        <v>5</v>
      </c>
      <c r="J17">
        <v>0</v>
      </c>
      <c r="K17">
        <f>VLOOKUP(I17, Sheet5!$A$1:$D$6, 2)</f>
        <v>3</v>
      </c>
      <c r="L17">
        <f>VLOOKUP(I17, Sheet5!$A$1:$D$6, 3)</f>
        <v>1</v>
      </c>
      <c r="M17">
        <f>VLOOKUP(I17, Sheet5!$A$1:$D$6, 4)</f>
        <v>2</v>
      </c>
    </row>
    <row r="18" spans="1:13" x14ac:dyDescent="0.4">
      <c r="A18">
        <f>VLOOKUP($I18, Sheet2!$A$1:$I$6, 2)</f>
        <v>169.66666666666666</v>
      </c>
      <c r="B18">
        <f>VLOOKUP($I18, Sheet2!$A$1:$I$6, 3)</f>
        <v>509</v>
      </c>
      <c r="C18">
        <f>VLOOKUP($I18, Sheet2!$A$1:$I$6, 4)</f>
        <v>1007.1302325581396</v>
      </c>
      <c r="D18">
        <f>VLOOKUP($I18, Sheet2!$A$1:$I$6, 5)</f>
        <v>1475.7790697674418</v>
      </c>
      <c r="E18">
        <f>VLOOKUP($I18, Sheet2!$A$1:$I$6, 6)</f>
        <v>1820.754739336493</v>
      </c>
      <c r="F18">
        <f>VLOOKUP($I18, Sheet2!$A$1:$I$6, 7)</f>
        <v>2324.4786729857819</v>
      </c>
      <c r="G18">
        <f>VLOOKUP($I18, Sheet2!$A$1:$I$6, 8)</f>
        <v>2593.2222222222222</v>
      </c>
      <c r="H18">
        <f>VLOOKUP($I18, Sheet2!$A$1:$I$6, 9)</f>
        <v>3095.6933333333332</v>
      </c>
      <c r="I18">
        <v>4</v>
      </c>
      <c r="J18">
        <v>0</v>
      </c>
      <c r="K18">
        <f>VLOOKUP(I18, Sheet5!$A$1:$D$6, 2)</f>
        <v>2</v>
      </c>
      <c r="L18">
        <f>VLOOKUP(I18, Sheet5!$A$1:$D$6, 3)</f>
        <v>3</v>
      </c>
      <c r="M18">
        <f>VLOOKUP(I18, Sheet5!$A$1:$D$6, 4)</f>
        <v>1</v>
      </c>
    </row>
    <row r="19" spans="1:13" x14ac:dyDescent="0.4">
      <c r="A19">
        <f>VLOOKUP($I19, Sheet2!$A$1:$I$6, 2)</f>
        <v>126.33333333333333</v>
      </c>
      <c r="B19">
        <f>VLOOKUP($I19, Sheet2!$A$1:$I$6, 3)</f>
        <v>379</v>
      </c>
      <c r="C19">
        <f>VLOOKUP($I19, Sheet2!$A$1:$I$6, 4)</f>
        <v>707.66666666666663</v>
      </c>
      <c r="D19">
        <f>VLOOKUP($I19, Sheet2!$A$1:$I$6, 5)</f>
        <v>1322.76</v>
      </c>
      <c r="E19">
        <f>VLOOKUP($I19, Sheet2!$A$1:$I$6, 6)</f>
        <v>1626.0402843601896</v>
      </c>
      <c r="F19">
        <f>VLOOKUP($I19, Sheet2!$A$1:$I$6, 7)</f>
        <v>2059.5687203791467</v>
      </c>
      <c r="G19">
        <f>VLOOKUP($I19, Sheet2!$A$1:$I$6, 8)</f>
        <v>2571.5209302325584</v>
      </c>
      <c r="H19">
        <f>VLOOKUP($I19, Sheet2!$A$1:$I$6, 9)</f>
        <v>3031.7829457364342</v>
      </c>
      <c r="I19">
        <v>2</v>
      </c>
      <c r="J19">
        <v>0</v>
      </c>
      <c r="K19">
        <f>VLOOKUP(I19, Sheet5!$A$1:$D$6, 2)</f>
        <v>1</v>
      </c>
      <c r="L19">
        <f>VLOOKUP(I19, Sheet5!$A$1:$D$6, 3)</f>
        <v>3</v>
      </c>
      <c r="M19">
        <f>VLOOKUP(I19, Sheet5!$A$1:$D$6, 4)</f>
        <v>2</v>
      </c>
    </row>
    <row r="20" spans="1:13" x14ac:dyDescent="0.4">
      <c r="A20">
        <f>VLOOKUP($I20, Sheet2!$A$1:$I$6, 2)</f>
        <v>169.66666666666666</v>
      </c>
      <c r="B20">
        <f>VLOOKUP($I20, Sheet2!$A$1:$I$6, 3)</f>
        <v>509</v>
      </c>
      <c r="C20">
        <f>VLOOKUP($I20, Sheet2!$A$1:$I$6, 4)</f>
        <v>755.94883720930204</v>
      </c>
      <c r="D20">
        <f>VLOOKUP($I20, Sheet2!$A$1:$I$6, 5)</f>
        <v>1359.93798449612</v>
      </c>
      <c r="E20">
        <f>VLOOKUP($I20, Sheet2!$A$1:$I$6, 6)</f>
        <v>1785.8888888888887</v>
      </c>
      <c r="F20">
        <f>VLOOKUP($I20, Sheet2!$A$1:$I$6, 7)</f>
        <v>2576.7533333333336</v>
      </c>
      <c r="G20">
        <f>VLOOKUP($I20, Sheet2!$A$1:$I$6, 8)</f>
        <v>2990.5497630331752</v>
      </c>
      <c r="H20">
        <f>VLOOKUP($I20, Sheet2!$A$1:$I$6, 9)</f>
        <v>3453.5260663507111</v>
      </c>
      <c r="I20">
        <v>3</v>
      </c>
      <c r="J20">
        <v>0</v>
      </c>
      <c r="K20">
        <f>VLOOKUP(I20, Sheet5!$A$1:$D$6, 2)</f>
        <v>2</v>
      </c>
      <c r="L20">
        <f>VLOOKUP(I20, Sheet5!$A$1:$D$6, 3)</f>
        <v>1</v>
      </c>
      <c r="M20">
        <f>VLOOKUP(I20, Sheet5!$A$1:$D$6, 4)</f>
        <v>3</v>
      </c>
    </row>
    <row r="21" spans="1:13" x14ac:dyDescent="0.4">
      <c r="A21">
        <f>VLOOKUP($I21, Sheet2!$A$1:$I$6, 2)</f>
        <v>207</v>
      </c>
      <c r="B21">
        <f>VLOOKUP($I21, Sheet2!$A$1:$I$6, 3)</f>
        <v>621</v>
      </c>
      <c r="C21">
        <f>VLOOKUP($I21, Sheet2!$A$1:$I$6, 4)</f>
        <v>709.79620853080598</v>
      </c>
      <c r="D21">
        <f>VLOOKUP($I21, Sheet2!$A$1:$I$6, 5)</f>
        <v>1111.4170616113699</v>
      </c>
      <c r="E21">
        <f>VLOOKUP($I21, Sheet2!$A$1:$I$6, 6)</f>
        <v>1345.2222222222222</v>
      </c>
      <c r="F21">
        <f>VLOOKUP($I21, Sheet2!$A$1:$I$6, 7)</f>
        <v>1891.1333333333334</v>
      </c>
      <c r="G21">
        <f>VLOOKUP($I21, Sheet2!$A$1:$I$6, 8)</f>
        <v>2310.6465116279101</v>
      </c>
      <c r="H21">
        <f>VLOOKUP($I21, Sheet2!$A$1:$I$6, 9)</f>
        <v>2861.9806201550387</v>
      </c>
      <c r="I21">
        <v>5</v>
      </c>
      <c r="J21">
        <v>0</v>
      </c>
      <c r="K21">
        <f>VLOOKUP(I21, Sheet5!$A$1:$D$6, 2)</f>
        <v>3</v>
      </c>
      <c r="L21">
        <f>VLOOKUP(I21, Sheet5!$A$1:$D$6, 3)</f>
        <v>1</v>
      </c>
      <c r="M21">
        <f>VLOOKUP(I21, Sheet5!$A$1:$D$6, 4)</f>
        <v>2</v>
      </c>
    </row>
    <row r="22" spans="1:13" x14ac:dyDescent="0.4">
      <c r="A22">
        <f>VLOOKUP($I22, Sheet2!$A$1:$I$6, 2)</f>
        <v>169.66666666666666</v>
      </c>
      <c r="B22">
        <f>VLOOKUP($I22, Sheet2!$A$1:$I$6, 3)</f>
        <v>509</v>
      </c>
      <c r="C22">
        <f>VLOOKUP($I22, Sheet2!$A$1:$I$6, 4)</f>
        <v>755.94883720930204</v>
      </c>
      <c r="D22">
        <f>VLOOKUP($I22, Sheet2!$A$1:$I$6, 5)</f>
        <v>1359.93798449612</v>
      </c>
      <c r="E22">
        <f>VLOOKUP($I22, Sheet2!$A$1:$I$6, 6)</f>
        <v>1785.8888888888887</v>
      </c>
      <c r="F22">
        <f>VLOOKUP($I22, Sheet2!$A$1:$I$6, 7)</f>
        <v>2576.7533333333336</v>
      </c>
      <c r="G22">
        <f>VLOOKUP($I22, Sheet2!$A$1:$I$6, 8)</f>
        <v>2990.5497630331752</v>
      </c>
      <c r="H22">
        <f>VLOOKUP($I22, Sheet2!$A$1:$I$6, 9)</f>
        <v>3453.5260663507111</v>
      </c>
      <c r="I22">
        <v>3</v>
      </c>
      <c r="J22">
        <v>0</v>
      </c>
      <c r="K22">
        <f>VLOOKUP(I22, Sheet5!$A$1:$D$6, 2)</f>
        <v>2</v>
      </c>
      <c r="L22">
        <f>VLOOKUP(I22, Sheet5!$A$1:$D$6, 3)</f>
        <v>1</v>
      </c>
      <c r="M22">
        <f>VLOOKUP(I22, Sheet5!$A$1:$D$6, 4)</f>
        <v>3</v>
      </c>
    </row>
    <row r="23" spans="1:13" x14ac:dyDescent="0.4">
      <c r="A23">
        <f>VLOOKUP($I23, Sheet2!$A$1:$I$6, 2)</f>
        <v>207</v>
      </c>
      <c r="B23">
        <f>VLOOKUP($I23, Sheet2!$A$1:$I$6, 3)</f>
        <v>621</v>
      </c>
      <c r="C23">
        <f>VLOOKUP($I23, Sheet2!$A$1:$I$6, 4)</f>
        <v>770.38862559241704</v>
      </c>
      <c r="D23">
        <f>VLOOKUP($I23, Sheet2!$A$1:$I$6, 5)</f>
        <v>1176.2511848341233</v>
      </c>
      <c r="E23">
        <f>VLOOKUP($I23, Sheet2!$A$1:$I$6, 6)</f>
        <v>1323.8</v>
      </c>
      <c r="F23">
        <f>VLOOKUP($I23, Sheet2!$A$1:$I$6, 7)</f>
        <v>1926.6666666666699</v>
      </c>
      <c r="G23">
        <f>VLOOKUP($I23, Sheet2!$A$1:$I$6, 8)</f>
        <v>2111.6666666666665</v>
      </c>
      <c r="H23">
        <f>VLOOKUP($I23, Sheet2!$A$1:$I$6, 9)</f>
        <v>2715.9</v>
      </c>
      <c r="I23">
        <v>6</v>
      </c>
      <c r="J23">
        <v>0</v>
      </c>
      <c r="K23">
        <f>VLOOKUP(I23, Sheet5!$A$1:$D$6, 2)</f>
        <v>3</v>
      </c>
      <c r="L23">
        <f>VLOOKUP(I23, Sheet5!$A$1:$D$6, 3)</f>
        <v>2</v>
      </c>
      <c r="M23">
        <f>VLOOKUP(I23, Sheet5!$A$1:$D$6, 4)</f>
        <v>1</v>
      </c>
    </row>
    <row r="24" spans="1:13" x14ac:dyDescent="0.4">
      <c r="A24">
        <f>VLOOKUP($I24, Sheet2!$A$1:$I$6, 2)</f>
        <v>207</v>
      </c>
      <c r="B24">
        <f>VLOOKUP($I24, Sheet2!$A$1:$I$6, 3)</f>
        <v>621</v>
      </c>
      <c r="C24">
        <f>VLOOKUP($I24, Sheet2!$A$1:$I$6, 4)</f>
        <v>770.38862559241704</v>
      </c>
      <c r="D24">
        <f>VLOOKUP($I24, Sheet2!$A$1:$I$6, 5)</f>
        <v>1176.2511848341233</v>
      </c>
      <c r="E24">
        <f>VLOOKUP($I24, Sheet2!$A$1:$I$6, 6)</f>
        <v>1323.8</v>
      </c>
      <c r="F24">
        <f>VLOOKUP($I24, Sheet2!$A$1:$I$6, 7)</f>
        <v>1926.6666666666699</v>
      </c>
      <c r="G24">
        <f>VLOOKUP($I24, Sheet2!$A$1:$I$6, 8)</f>
        <v>2111.6666666666665</v>
      </c>
      <c r="H24">
        <f>VLOOKUP($I24, Sheet2!$A$1:$I$6, 9)</f>
        <v>2715.9</v>
      </c>
      <c r="I24">
        <v>6</v>
      </c>
      <c r="J24">
        <v>0</v>
      </c>
      <c r="K24">
        <f>VLOOKUP(I24, Sheet5!$A$1:$D$6, 2)</f>
        <v>3</v>
      </c>
      <c r="L24">
        <f>VLOOKUP(I24, Sheet5!$A$1:$D$6, 3)</f>
        <v>2</v>
      </c>
      <c r="M24">
        <f>VLOOKUP(I24, Sheet5!$A$1:$D$6, 4)</f>
        <v>1</v>
      </c>
    </row>
    <row r="25" spans="1:13" x14ac:dyDescent="0.4">
      <c r="A25">
        <f>VLOOKUP($I25, Sheet2!$A$1:$I$6, 2)</f>
        <v>207</v>
      </c>
      <c r="B25">
        <f>VLOOKUP($I25, Sheet2!$A$1:$I$6, 3)</f>
        <v>621</v>
      </c>
      <c r="C25">
        <f>VLOOKUP($I25, Sheet2!$A$1:$I$6, 4)</f>
        <v>709.79620853080598</v>
      </c>
      <c r="D25">
        <f>VLOOKUP($I25, Sheet2!$A$1:$I$6, 5)</f>
        <v>1111.4170616113699</v>
      </c>
      <c r="E25">
        <f>VLOOKUP($I25, Sheet2!$A$1:$I$6, 6)</f>
        <v>1345.2222222222222</v>
      </c>
      <c r="F25">
        <f>VLOOKUP($I25, Sheet2!$A$1:$I$6, 7)</f>
        <v>1891.1333333333334</v>
      </c>
      <c r="G25">
        <f>VLOOKUP($I25, Sheet2!$A$1:$I$6, 8)</f>
        <v>2310.6465116279101</v>
      </c>
      <c r="H25">
        <f>VLOOKUP($I25, Sheet2!$A$1:$I$6, 9)</f>
        <v>2861.9806201550387</v>
      </c>
      <c r="I25">
        <v>5</v>
      </c>
      <c r="J25">
        <v>0</v>
      </c>
      <c r="K25">
        <f>VLOOKUP(I25, Sheet5!$A$1:$D$6, 2)</f>
        <v>3</v>
      </c>
      <c r="L25">
        <f>VLOOKUP(I25, Sheet5!$A$1:$D$6, 3)</f>
        <v>1</v>
      </c>
      <c r="M25">
        <f>VLOOKUP(I25, Sheet5!$A$1:$D$6, 4)</f>
        <v>2</v>
      </c>
    </row>
    <row r="26" spans="1:13" x14ac:dyDescent="0.4">
      <c r="A26">
        <f>VLOOKUP($I26, Sheet2!$A$1:$I$6, 2)</f>
        <v>207</v>
      </c>
      <c r="B26">
        <f>VLOOKUP($I26, Sheet2!$A$1:$I$6, 3)</f>
        <v>621</v>
      </c>
      <c r="C26">
        <f>VLOOKUP($I26, Sheet2!$A$1:$I$6, 4)</f>
        <v>709.79620853080598</v>
      </c>
      <c r="D26">
        <f>VLOOKUP($I26, Sheet2!$A$1:$I$6, 5)</f>
        <v>1111.4170616113699</v>
      </c>
      <c r="E26">
        <f>VLOOKUP($I26, Sheet2!$A$1:$I$6, 6)</f>
        <v>1345.2222222222222</v>
      </c>
      <c r="F26">
        <f>VLOOKUP($I26, Sheet2!$A$1:$I$6, 7)</f>
        <v>1891.1333333333334</v>
      </c>
      <c r="G26">
        <f>VLOOKUP($I26, Sheet2!$A$1:$I$6, 8)</f>
        <v>2310.6465116279101</v>
      </c>
      <c r="H26">
        <f>VLOOKUP($I26, Sheet2!$A$1:$I$6, 9)</f>
        <v>2861.9806201550387</v>
      </c>
      <c r="I26">
        <v>5</v>
      </c>
      <c r="J26">
        <v>0</v>
      </c>
      <c r="K26">
        <f>VLOOKUP(I26, Sheet5!$A$1:$D$6, 2)</f>
        <v>3</v>
      </c>
      <c r="L26">
        <f>VLOOKUP(I26, Sheet5!$A$1:$D$6, 3)</f>
        <v>1</v>
      </c>
      <c r="M26">
        <f>VLOOKUP(I26, Sheet5!$A$1:$D$6, 4)</f>
        <v>2</v>
      </c>
    </row>
    <row r="27" spans="1:13" s="8" customFormat="1" x14ac:dyDescent="0.4">
      <c r="A27" s="8">
        <f>VLOOKUP($I27, Sheet2!$A$1:$I$6, 2)</f>
        <v>169.66666666666666</v>
      </c>
      <c r="B27" s="8">
        <f>VLOOKUP($I27, Sheet2!$A$1:$I$6, 3)</f>
        <v>509</v>
      </c>
      <c r="C27" s="8">
        <f>VLOOKUP($I27, Sheet2!$A$1:$I$6, 4)</f>
        <v>1007.1302325581396</v>
      </c>
      <c r="D27" s="8">
        <f>VLOOKUP($I27, Sheet2!$A$1:$I$6, 5)</f>
        <v>1475.7790697674418</v>
      </c>
      <c r="E27" s="8">
        <f>VLOOKUP($I27, Sheet2!$A$1:$I$6, 6)</f>
        <v>1820.754739336493</v>
      </c>
      <c r="F27" s="8">
        <f>VLOOKUP($I27, Sheet2!$A$1:$I$6, 7)</f>
        <v>2324.4786729857819</v>
      </c>
      <c r="G27" s="8">
        <f>VLOOKUP($I27, Sheet2!$A$1:$I$6, 8)</f>
        <v>2593.2222222222222</v>
      </c>
      <c r="H27" s="8">
        <f>VLOOKUP($I27, Sheet2!$A$1:$I$6, 9)</f>
        <v>3095.6933333333332</v>
      </c>
      <c r="I27" s="8">
        <v>4</v>
      </c>
      <c r="J27" s="8">
        <v>0</v>
      </c>
      <c r="K27" s="8">
        <f>VLOOKUP(I27, Sheet5!$A$1:$D$6, 2)</f>
        <v>2</v>
      </c>
      <c r="L27" s="8">
        <f>VLOOKUP(I27, Sheet5!$A$1:$D$6, 3)</f>
        <v>3</v>
      </c>
      <c r="M27" s="8">
        <f>VLOOKUP(I27, Sheet5!$A$1:$D$6, 4)</f>
        <v>1</v>
      </c>
    </row>
    <row r="28" spans="1:13" x14ac:dyDescent="0.4">
      <c r="A28">
        <f>VLOOKUP($I28, Sheet2!$A$1:$I$6, 2)</f>
        <v>169.66666666666666</v>
      </c>
      <c r="B28">
        <f>VLOOKUP($I28, Sheet2!$A$1:$I$6, 3)</f>
        <v>509</v>
      </c>
      <c r="C28">
        <f>VLOOKUP($I28, Sheet2!$A$1:$I$6, 4)</f>
        <v>1007.1302325581396</v>
      </c>
      <c r="D28">
        <f>VLOOKUP($I28, Sheet2!$A$1:$I$6, 5)</f>
        <v>1475.7790697674418</v>
      </c>
      <c r="E28">
        <f>VLOOKUP($I28, Sheet2!$A$1:$I$6, 6)</f>
        <v>1820.754739336493</v>
      </c>
      <c r="F28">
        <f>VLOOKUP($I28, Sheet2!$A$1:$I$6, 7)</f>
        <v>2324.4786729857819</v>
      </c>
      <c r="G28">
        <f>VLOOKUP($I28, Sheet2!$A$1:$I$6, 8)</f>
        <v>2593.2222222222222</v>
      </c>
      <c r="H28">
        <f>VLOOKUP($I28, Sheet2!$A$1:$I$6, 9)</f>
        <v>3095.6933333333332</v>
      </c>
      <c r="I28">
        <v>4</v>
      </c>
      <c r="J28">
        <v>0</v>
      </c>
      <c r="K28">
        <f>VLOOKUP(I28, Sheet5!$A$1:$D$6, 2)</f>
        <v>2</v>
      </c>
      <c r="L28">
        <f>VLOOKUP(I28, Sheet5!$A$1:$D$6, 3)</f>
        <v>3</v>
      </c>
      <c r="M28">
        <f>VLOOKUP(I28, Sheet5!$A$1:$D$6, 4)</f>
        <v>1</v>
      </c>
    </row>
    <row r="29" spans="1:13" x14ac:dyDescent="0.4">
      <c r="A29">
        <f>VLOOKUP($I29, Sheet2!$A$1:$I$6, 2)</f>
        <v>126.33333333333333</v>
      </c>
      <c r="B29">
        <f>VLOOKUP($I29, Sheet2!$A$1:$I$6, 3)</f>
        <v>379</v>
      </c>
      <c r="C29">
        <f>VLOOKUP($I29, Sheet2!$A$1:$I$6, 4)</f>
        <v>707.66666666666663</v>
      </c>
      <c r="D29">
        <f>VLOOKUP($I29, Sheet2!$A$1:$I$6, 5)</f>
        <v>1322.76</v>
      </c>
      <c r="E29">
        <f>VLOOKUP($I29, Sheet2!$A$1:$I$6, 6)</f>
        <v>1626.0402843601896</v>
      </c>
      <c r="F29">
        <f>VLOOKUP($I29, Sheet2!$A$1:$I$6, 7)</f>
        <v>2059.5687203791467</v>
      </c>
      <c r="G29">
        <f>VLOOKUP($I29, Sheet2!$A$1:$I$6, 8)</f>
        <v>2571.5209302325584</v>
      </c>
      <c r="H29">
        <f>VLOOKUP($I29, Sheet2!$A$1:$I$6, 9)</f>
        <v>3031.7829457364342</v>
      </c>
      <c r="I29">
        <v>2</v>
      </c>
      <c r="J29">
        <v>0</v>
      </c>
      <c r="K29">
        <f>VLOOKUP(I29, Sheet5!$A$1:$D$6, 2)</f>
        <v>1</v>
      </c>
      <c r="L29">
        <f>VLOOKUP(I29, Sheet5!$A$1:$D$6, 3)</f>
        <v>3</v>
      </c>
      <c r="M29">
        <f>VLOOKUP(I29, Sheet5!$A$1:$D$6, 4)</f>
        <v>2</v>
      </c>
    </row>
    <row r="30" spans="1:13" x14ac:dyDescent="0.4">
      <c r="A30">
        <f>VLOOKUP($I30, Sheet2!$A$1:$I$6, 2)</f>
        <v>169.66666666666666</v>
      </c>
      <c r="B30">
        <f>VLOOKUP($I30, Sheet2!$A$1:$I$6, 3)</f>
        <v>509</v>
      </c>
      <c r="C30">
        <f>VLOOKUP($I30, Sheet2!$A$1:$I$6, 4)</f>
        <v>1007.1302325581396</v>
      </c>
      <c r="D30">
        <f>VLOOKUP($I30, Sheet2!$A$1:$I$6, 5)</f>
        <v>1475.7790697674418</v>
      </c>
      <c r="E30">
        <f>VLOOKUP($I30, Sheet2!$A$1:$I$6, 6)</f>
        <v>1820.754739336493</v>
      </c>
      <c r="F30">
        <f>VLOOKUP($I30, Sheet2!$A$1:$I$6, 7)</f>
        <v>2324.4786729857819</v>
      </c>
      <c r="G30">
        <f>VLOOKUP($I30, Sheet2!$A$1:$I$6, 8)</f>
        <v>2593.2222222222222</v>
      </c>
      <c r="H30">
        <f>VLOOKUP($I30, Sheet2!$A$1:$I$6, 9)</f>
        <v>3095.6933333333332</v>
      </c>
      <c r="I30">
        <v>4</v>
      </c>
      <c r="J30">
        <v>0</v>
      </c>
      <c r="K30">
        <f>VLOOKUP(I30, Sheet5!$A$1:$D$6, 2)</f>
        <v>2</v>
      </c>
      <c r="L30">
        <f>VLOOKUP(I30, Sheet5!$A$1:$D$6, 3)</f>
        <v>3</v>
      </c>
      <c r="M30">
        <f>VLOOKUP(I30, Sheet5!$A$1:$D$6, 4)</f>
        <v>1</v>
      </c>
    </row>
    <row r="31" spans="1:13" x14ac:dyDescent="0.4">
      <c r="A31">
        <f>VLOOKUP($I31, Sheet2!$A$1:$I$6, 2)</f>
        <v>207</v>
      </c>
      <c r="B31">
        <f>VLOOKUP($I31, Sheet2!$A$1:$I$6, 3)</f>
        <v>621</v>
      </c>
      <c r="C31">
        <f>VLOOKUP($I31, Sheet2!$A$1:$I$6, 4)</f>
        <v>770.38862559241704</v>
      </c>
      <c r="D31">
        <f>VLOOKUP($I31, Sheet2!$A$1:$I$6, 5)</f>
        <v>1176.2511848341233</v>
      </c>
      <c r="E31">
        <f>VLOOKUP($I31, Sheet2!$A$1:$I$6, 6)</f>
        <v>1323.8</v>
      </c>
      <c r="F31">
        <f>VLOOKUP($I31, Sheet2!$A$1:$I$6, 7)</f>
        <v>1926.6666666666699</v>
      </c>
      <c r="G31">
        <f>VLOOKUP($I31, Sheet2!$A$1:$I$6, 8)</f>
        <v>2111.6666666666665</v>
      </c>
      <c r="H31">
        <f>VLOOKUP($I31, Sheet2!$A$1:$I$6, 9)</f>
        <v>2715.9</v>
      </c>
      <c r="I31">
        <v>6</v>
      </c>
      <c r="J31">
        <v>0</v>
      </c>
      <c r="K31">
        <f>VLOOKUP(I31, Sheet5!$A$1:$D$6, 2)</f>
        <v>3</v>
      </c>
      <c r="L31">
        <f>VLOOKUP(I31, Sheet5!$A$1:$D$6, 3)</f>
        <v>2</v>
      </c>
      <c r="M31">
        <f>VLOOKUP(I31, Sheet5!$A$1:$D$6, 4)</f>
        <v>1</v>
      </c>
    </row>
    <row r="32" spans="1:13" x14ac:dyDescent="0.4">
      <c r="A32">
        <f>VLOOKUP($I32, Sheet2!$A$1:$I$6, 2)</f>
        <v>126.33333333333333</v>
      </c>
      <c r="B32">
        <f>VLOOKUP($I32, Sheet2!$A$1:$I$6, 3)</f>
        <v>379</v>
      </c>
      <c r="C32">
        <f>VLOOKUP($I32, Sheet2!$A$1:$I$6, 4)</f>
        <v>740.11111111111109</v>
      </c>
      <c r="D32">
        <f>VLOOKUP($I32, Sheet2!$A$1:$I$6, 5)</f>
        <v>1384.5666666666666</v>
      </c>
      <c r="E32">
        <f>VLOOKUP($I32, Sheet2!$A$1:$I$6, 6)</f>
        <v>1834.68837209302</v>
      </c>
      <c r="F32">
        <f>VLOOKUP($I32, Sheet2!$A$1:$I$6, 7)</f>
        <v>2483.0465116279101</v>
      </c>
      <c r="G32">
        <f>VLOOKUP($I32, Sheet2!$A$1:$I$6, 8)</f>
        <v>2813.8447867298578</v>
      </c>
      <c r="H32">
        <f>VLOOKUP($I32, Sheet2!$A$1:$I$6, 9)</f>
        <v>3380.5734597156397</v>
      </c>
      <c r="I32">
        <v>1</v>
      </c>
      <c r="J32">
        <v>0</v>
      </c>
      <c r="K32">
        <f>VLOOKUP(I32, Sheet5!$A$1:$D$6, 2)</f>
        <v>1</v>
      </c>
      <c r="L32">
        <f>VLOOKUP(I32, Sheet5!$A$1:$D$6, 3)</f>
        <v>2</v>
      </c>
      <c r="M32">
        <f>VLOOKUP(I32, Sheet5!$A$1:$D$6, 4)</f>
        <v>3</v>
      </c>
    </row>
    <row r="33" spans="1:13" x14ac:dyDescent="0.4">
      <c r="A33">
        <f>VLOOKUP($I33, Sheet2!$A$1:$I$6, 2)</f>
        <v>169.66666666666666</v>
      </c>
      <c r="B33">
        <f>VLOOKUP($I33, Sheet2!$A$1:$I$6, 3)</f>
        <v>509</v>
      </c>
      <c r="C33">
        <f>VLOOKUP($I33, Sheet2!$A$1:$I$6, 4)</f>
        <v>1007.1302325581396</v>
      </c>
      <c r="D33">
        <f>VLOOKUP($I33, Sheet2!$A$1:$I$6, 5)</f>
        <v>1475.7790697674418</v>
      </c>
      <c r="E33">
        <f>VLOOKUP($I33, Sheet2!$A$1:$I$6, 6)</f>
        <v>1820.754739336493</v>
      </c>
      <c r="F33">
        <f>VLOOKUP($I33, Sheet2!$A$1:$I$6, 7)</f>
        <v>2324.4786729857819</v>
      </c>
      <c r="G33">
        <f>VLOOKUP($I33, Sheet2!$A$1:$I$6, 8)</f>
        <v>2593.2222222222222</v>
      </c>
      <c r="H33">
        <f>VLOOKUP($I33, Sheet2!$A$1:$I$6, 9)</f>
        <v>3095.6933333333332</v>
      </c>
      <c r="I33">
        <v>4</v>
      </c>
      <c r="J33">
        <v>0</v>
      </c>
      <c r="K33">
        <f>VLOOKUP(I33, Sheet5!$A$1:$D$6, 2)</f>
        <v>2</v>
      </c>
      <c r="L33">
        <f>VLOOKUP(I33, Sheet5!$A$1:$D$6, 3)</f>
        <v>3</v>
      </c>
      <c r="M33">
        <f>VLOOKUP(I33, Sheet5!$A$1:$D$6, 4)</f>
        <v>1</v>
      </c>
    </row>
    <row r="34" spans="1:13" x14ac:dyDescent="0.4">
      <c r="A34">
        <f>VLOOKUP($I34, Sheet2!$A$1:$I$6, 2)</f>
        <v>207</v>
      </c>
      <c r="B34">
        <f>VLOOKUP($I34, Sheet2!$A$1:$I$6, 3)</f>
        <v>621</v>
      </c>
      <c r="C34">
        <f>VLOOKUP($I34, Sheet2!$A$1:$I$6, 4)</f>
        <v>709.79620853080598</v>
      </c>
      <c r="D34">
        <f>VLOOKUP($I34, Sheet2!$A$1:$I$6, 5)</f>
        <v>1111.4170616113699</v>
      </c>
      <c r="E34">
        <f>VLOOKUP($I34, Sheet2!$A$1:$I$6, 6)</f>
        <v>1345.2222222222222</v>
      </c>
      <c r="F34">
        <f>VLOOKUP($I34, Sheet2!$A$1:$I$6, 7)</f>
        <v>1891.1333333333334</v>
      </c>
      <c r="G34">
        <f>VLOOKUP($I34, Sheet2!$A$1:$I$6, 8)</f>
        <v>2310.6465116279101</v>
      </c>
      <c r="H34">
        <f>VLOOKUP($I34, Sheet2!$A$1:$I$6, 9)</f>
        <v>2861.9806201550387</v>
      </c>
      <c r="I34">
        <v>5</v>
      </c>
      <c r="J34">
        <v>0</v>
      </c>
      <c r="K34">
        <f>VLOOKUP(I34, Sheet5!$A$1:$D$6, 2)</f>
        <v>3</v>
      </c>
      <c r="L34">
        <f>VLOOKUP(I34, Sheet5!$A$1:$D$6, 3)</f>
        <v>1</v>
      </c>
      <c r="M34">
        <f>VLOOKUP(I34, Sheet5!$A$1:$D$6, 4)</f>
        <v>2</v>
      </c>
    </row>
    <row r="35" spans="1:13" x14ac:dyDescent="0.4">
      <c r="A35">
        <f>VLOOKUP($I35, Sheet2!$A$1:$I$6, 2)</f>
        <v>126.33333333333333</v>
      </c>
      <c r="B35">
        <f>VLOOKUP($I35, Sheet2!$A$1:$I$6, 3)</f>
        <v>379</v>
      </c>
      <c r="C35">
        <f>VLOOKUP($I35, Sheet2!$A$1:$I$6, 4)</f>
        <v>740.11111111111109</v>
      </c>
      <c r="D35">
        <f>VLOOKUP($I35, Sheet2!$A$1:$I$6, 5)</f>
        <v>1384.5666666666666</v>
      </c>
      <c r="E35">
        <f>VLOOKUP($I35, Sheet2!$A$1:$I$6, 6)</f>
        <v>1834.68837209302</v>
      </c>
      <c r="F35">
        <f>VLOOKUP($I35, Sheet2!$A$1:$I$6, 7)</f>
        <v>2483.0465116279101</v>
      </c>
      <c r="G35">
        <f>VLOOKUP($I35, Sheet2!$A$1:$I$6, 8)</f>
        <v>2813.8447867298578</v>
      </c>
      <c r="H35">
        <f>VLOOKUP($I35, Sheet2!$A$1:$I$6, 9)</f>
        <v>3380.5734597156397</v>
      </c>
      <c r="I35">
        <v>1</v>
      </c>
      <c r="J35">
        <v>0</v>
      </c>
      <c r="K35">
        <f>VLOOKUP(I35, Sheet5!$A$1:$D$6, 2)</f>
        <v>1</v>
      </c>
      <c r="L35">
        <f>VLOOKUP(I35, Sheet5!$A$1:$D$6, 3)</f>
        <v>2</v>
      </c>
      <c r="M35">
        <f>VLOOKUP(I35, Sheet5!$A$1:$D$6, 4)</f>
        <v>3</v>
      </c>
    </row>
    <row r="36" spans="1:13" x14ac:dyDescent="0.4">
      <c r="A36">
        <f>VLOOKUP($I36, Sheet2!$A$1:$I$6, 2)</f>
        <v>126.33333333333333</v>
      </c>
      <c r="B36">
        <f>VLOOKUP($I36, Sheet2!$A$1:$I$6, 3)</f>
        <v>379</v>
      </c>
      <c r="C36">
        <f>VLOOKUP($I36, Sheet2!$A$1:$I$6, 4)</f>
        <v>740.11111111111109</v>
      </c>
      <c r="D36">
        <f>VLOOKUP($I36, Sheet2!$A$1:$I$6, 5)</f>
        <v>1384.5666666666666</v>
      </c>
      <c r="E36">
        <f>VLOOKUP($I36, Sheet2!$A$1:$I$6, 6)</f>
        <v>1834.68837209302</v>
      </c>
      <c r="F36">
        <f>VLOOKUP($I36, Sheet2!$A$1:$I$6, 7)</f>
        <v>2483.0465116279101</v>
      </c>
      <c r="G36">
        <f>VLOOKUP($I36, Sheet2!$A$1:$I$6, 8)</f>
        <v>2813.8447867298578</v>
      </c>
      <c r="H36">
        <f>VLOOKUP($I36, Sheet2!$A$1:$I$6, 9)</f>
        <v>3380.5734597156397</v>
      </c>
      <c r="I36">
        <v>1</v>
      </c>
      <c r="J36">
        <v>0</v>
      </c>
      <c r="K36">
        <f>VLOOKUP(I36, Sheet5!$A$1:$D$6, 2)</f>
        <v>1</v>
      </c>
      <c r="L36">
        <f>VLOOKUP(I36, Sheet5!$A$1:$D$6, 3)</f>
        <v>2</v>
      </c>
      <c r="M36">
        <f>VLOOKUP(I36, Sheet5!$A$1:$D$6, 4)</f>
        <v>3</v>
      </c>
    </row>
    <row r="37" spans="1:13" x14ac:dyDescent="0.4">
      <c r="A37">
        <f>VLOOKUP($I37, Sheet2!$A$1:$I$6, 2)</f>
        <v>126.33333333333333</v>
      </c>
      <c r="B37">
        <f>VLOOKUP($I37, Sheet2!$A$1:$I$6, 3)</f>
        <v>379</v>
      </c>
      <c r="C37">
        <f>VLOOKUP($I37, Sheet2!$A$1:$I$6, 4)</f>
        <v>707.66666666666663</v>
      </c>
      <c r="D37">
        <f>VLOOKUP($I37, Sheet2!$A$1:$I$6, 5)</f>
        <v>1322.76</v>
      </c>
      <c r="E37">
        <f>VLOOKUP($I37, Sheet2!$A$1:$I$6, 6)</f>
        <v>1626.0402843601896</v>
      </c>
      <c r="F37">
        <f>VLOOKUP($I37, Sheet2!$A$1:$I$6, 7)</f>
        <v>2059.5687203791467</v>
      </c>
      <c r="G37">
        <f>VLOOKUP($I37, Sheet2!$A$1:$I$6, 8)</f>
        <v>2571.5209302325584</v>
      </c>
      <c r="H37">
        <f>VLOOKUP($I37, Sheet2!$A$1:$I$6, 9)</f>
        <v>3031.7829457364342</v>
      </c>
      <c r="I37">
        <v>2</v>
      </c>
      <c r="J37">
        <v>0</v>
      </c>
      <c r="K37">
        <f>VLOOKUP(I37, Sheet5!$A$1:$D$6, 2)</f>
        <v>1</v>
      </c>
      <c r="L37">
        <f>VLOOKUP(I37, Sheet5!$A$1:$D$6, 3)</f>
        <v>3</v>
      </c>
      <c r="M37">
        <f>VLOOKUP(I37, Sheet5!$A$1:$D$6, 4)</f>
        <v>2</v>
      </c>
    </row>
    <row r="38" spans="1:13" x14ac:dyDescent="0.4">
      <c r="A38">
        <f>VLOOKUP($I38, Sheet2!$A$1:$I$6, 2)</f>
        <v>169.66666666666666</v>
      </c>
      <c r="B38">
        <f>VLOOKUP($I38, Sheet2!$A$1:$I$6, 3)</f>
        <v>509</v>
      </c>
      <c r="C38">
        <f>VLOOKUP($I38, Sheet2!$A$1:$I$6, 4)</f>
        <v>1007.1302325581396</v>
      </c>
      <c r="D38">
        <f>VLOOKUP($I38, Sheet2!$A$1:$I$6, 5)</f>
        <v>1475.7790697674418</v>
      </c>
      <c r="E38">
        <f>VLOOKUP($I38, Sheet2!$A$1:$I$6, 6)</f>
        <v>1820.754739336493</v>
      </c>
      <c r="F38">
        <f>VLOOKUP($I38, Sheet2!$A$1:$I$6, 7)</f>
        <v>2324.4786729857819</v>
      </c>
      <c r="G38">
        <f>VLOOKUP($I38, Sheet2!$A$1:$I$6, 8)</f>
        <v>2593.2222222222222</v>
      </c>
      <c r="H38">
        <f>VLOOKUP($I38, Sheet2!$A$1:$I$6, 9)</f>
        <v>3095.6933333333332</v>
      </c>
      <c r="I38">
        <v>4</v>
      </c>
      <c r="J38">
        <v>0</v>
      </c>
      <c r="K38">
        <f>VLOOKUP(I38, Sheet5!$A$1:$D$6, 2)</f>
        <v>2</v>
      </c>
      <c r="L38">
        <f>VLOOKUP(I38, Sheet5!$A$1:$D$6, 3)</f>
        <v>3</v>
      </c>
      <c r="M38">
        <f>VLOOKUP(I38, Sheet5!$A$1:$D$6, 4)</f>
        <v>1</v>
      </c>
    </row>
    <row r="39" spans="1:13" x14ac:dyDescent="0.4">
      <c r="A39">
        <f>VLOOKUP($I39, Sheet2!$A$1:$I$6, 2)</f>
        <v>126.33333333333333</v>
      </c>
      <c r="B39">
        <f>VLOOKUP($I39, Sheet2!$A$1:$I$6, 3)</f>
        <v>379</v>
      </c>
      <c r="C39">
        <f>VLOOKUP($I39, Sheet2!$A$1:$I$6, 4)</f>
        <v>707.66666666666663</v>
      </c>
      <c r="D39">
        <f>VLOOKUP($I39, Sheet2!$A$1:$I$6, 5)</f>
        <v>1322.76</v>
      </c>
      <c r="E39">
        <f>VLOOKUP($I39, Sheet2!$A$1:$I$6, 6)</f>
        <v>1626.0402843601896</v>
      </c>
      <c r="F39">
        <f>VLOOKUP($I39, Sheet2!$A$1:$I$6, 7)</f>
        <v>2059.5687203791467</v>
      </c>
      <c r="G39">
        <f>VLOOKUP($I39, Sheet2!$A$1:$I$6, 8)</f>
        <v>2571.5209302325584</v>
      </c>
      <c r="H39">
        <f>VLOOKUP($I39, Sheet2!$A$1:$I$6, 9)</f>
        <v>3031.7829457364342</v>
      </c>
      <c r="I39">
        <v>2</v>
      </c>
      <c r="J39">
        <v>0</v>
      </c>
      <c r="K39">
        <f>VLOOKUP(I39, Sheet5!$A$1:$D$6, 2)</f>
        <v>1</v>
      </c>
      <c r="L39">
        <f>VLOOKUP(I39, Sheet5!$A$1:$D$6, 3)</f>
        <v>3</v>
      </c>
      <c r="M39">
        <f>VLOOKUP(I39, Sheet5!$A$1:$D$6, 4)</f>
        <v>2</v>
      </c>
    </row>
    <row r="40" spans="1:13" x14ac:dyDescent="0.4">
      <c r="A40">
        <f>VLOOKUP($I40, Sheet2!$A$1:$I$6, 2)</f>
        <v>169.66666666666666</v>
      </c>
      <c r="B40">
        <f>VLOOKUP($I40, Sheet2!$A$1:$I$6, 3)</f>
        <v>509</v>
      </c>
      <c r="C40">
        <f>VLOOKUP($I40, Sheet2!$A$1:$I$6, 4)</f>
        <v>1007.1302325581396</v>
      </c>
      <c r="D40">
        <f>VLOOKUP($I40, Sheet2!$A$1:$I$6, 5)</f>
        <v>1475.7790697674418</v>
      </c>
      <c r="E40">
        <f>VLOOKUP($I40, Sheet2!$A$1:$I$6, 6)</f>
        <v>1820.754739336493</v>
      </c>
      <c r="F40">
        <f>VLOOKUP($I40, Sheet2!$A$1:$I$6, 7)</f>
        <v>2324.4786729857819</v>
      </c>
      <c r="G40">
        <f>VLOOKUP($I40, Sheet2!$A$1:$I$6, 8)</f>
        <v>2593.2222222222222</v>
      </c>
      <c r="H40">
        <f>VLOOKUP($I40, Sheet2!$A$1:$I$6, 9)</f>
        <v>3095.6933333333332</v>
      </c>
      <c r="I40">
        <v>4</v>
      </c>
      <c r="J40">
        <v>0</v>
      </c>
      <c r="K40">
        <f>VLOOKUP(I40, Sheet5!$A$1:$D$6, 2)</f>
        <v>2</v>
      </c>
      <c r="L40">
        <f>VLOOKUP(I40, Sheet5!$A$1:$D$6, 3)</f>
        <v>3</v>
      </c>
      <c r="M40">
        <f>VLOOKUP(I40, Sheet5!$A$1:$D$6, 4)</f>
        <v>1</v>
      </c>
    </row>
    <row r="41" spans="1:13" x14ac:dyDescent="0.4">
      <c r="A41">
        <f>VLOOKUP($I41, Sheet2!$A$1:$I$6, 2)</f>
        <v>126.33333333333333</v>
      </c>
      <c r="B41">
        <f>VLOOKUP($I41, Sheet2!$A$1:$I$6, 3)</f>
        <v>379</v>
      </c>
      <c r="C41">
        <f>VLOOKUP($I41, Sheet2!$A$1:$I$6, 4)</f>
        <v>707.66666666666663</v>
      </c>
      <c r="D41">
        <f>VLOOKUP($I41, Sheet2!$A$1:$I$6, 5)</f>
        <v>1322.76</v>
      </c>
      <c r="E41">
        <f>VLOOKUP($I41, Sheet2!$A$1:$I$6, 6)</f>
        <v>1626.0402843601896</v>
      </c>
      <c r="F41">
        <f>VLOOKUP($I41, Sheet2!$A$1:$I$6, 7)</f>
        <v>2059.5687203791467</v>
      </c>
      <c r="G41">
        <f>VLOOKUP($I41, Sheet2!$A$1:$I$6, 8)</f>
        <v>2571.5209302325584</v>
      </c>
      <c r="H41">
        <f>VLOOKUP($I41, Sheet2!$A$1:$I$6, 9)</f>
        <v>3031.7829457364342</v>
      </c>
      <c r="I41">
        <v>2</v>
      </c>
      <c r="J41">
        <v>0</v>
      </c>
      <c r="K41">
        <f>VLOOKUP(I41, Sheet5!$A$1:$D$6, 2)</f>
        <v>1</v>
      </c>
      <c r="L41">
        <f>VLOOKUP(I41, Sheet5!$A$1:$D$6, 3)</f>
        <v>3</v>
      </c>
      <c r="M41">
        <f>VLOOKUP(I41, Sheet5!$A$1:$D$6, 4)</f>
        <v>2</v>
      </c>
    </row>
    <row r="42" spans="1:13" x14ac:dyDescent="0.4">
      <c r="A42">
        <f>VLOOKUP($I42, Sheet2!$A$1:$I$6, 2)</f>
        <v>207</v>
      </c>
      <c r="B42">
        <f>VLOOKUP($I42, Sheet2!$A$1:$I$6, 3)</f>
        <v>621</v>
      </c>
      <c r="C42">
        <f>VLOOKUP($I42, Sheet2!$A$1:$I$6, 4)</f>
        <v>709.79620853080598</v>
      </c>
      <c r="D42">
        <f>VLOOKUP($I42, Sheet2!$A$1:$I$6, 5)</f>
        <v>1111.4170616113699</v>
      </c>
      <c r="E42">
        <f>VLOOKUP($I42, Sheet2!$A$1:$I$6, 6)</f>
        <v>1345.2222222222222</v>
      </c>
      <c r="F42">
        <f>VLOOKUP($I42, Sheet2!$A$1:$I$6, 7)</f>
        <v>1891.1333333333334</v>
      </c>
      <c r="G42">
        <f>VLOOKUP($I42, Sheet2!$A$1:$I$6, 8)</f>
        <v>2310.6465116279101</v>
      </c>
      <c r="H42">
        <f>VLOOKUP($I42, Sheet2!$A$1:$I$6, 9)</f>
        <v>2861.9806201550387</v>
      </c>
      <c r="I42">
        <v>5</v>
      </c>
      <c r="J42">
        <v>0</v>
      </c>
      <c r="K42">
        <f>VLOOKUP(I42, Sheet5!$A$1:$D$6, 2)</f>
        <v>3</v>
      </c>
      <c r="L42">
        <f>VLOOKUP(I42, Sheet5!$A$1:$D$6, 3)</f>
        <v>1</v>
      </c>
      <c r="M42">
        <f>VLOOKUP(I42, Sheet5!$A$1:$D$6, 4)</f>
        <v>2</v>
      </c>
    </row>
    <row r="43" spans="1:13" x14ac:dyDescent="0.4">
      <c r="A43">
        <f>VLOOKUP($I43, Sheet2!$A$1:$I$6, 2)</f>
        <v>207</v>
      </c>
      <c r="B43">
        <f>VLOOKUP($I43, Sheet2!$A$1:$I$6, 3)</f>
        <v>621</v>
      </c>
      <c r="C43">
        <f>VLOOKUP($I43, Sheet2!$A$1:$I$6, 4)</f>
        <v>709.79620853080598</v>
      </c>
      <c r="D43">
        <f>VLOOKUP($I43, Sheet2!$A$1:$I$6, 5)</f>
        <v>1111.4170616113699</v>
      </c>
      <c r="E43">
        <f>VLOOKUP($I43, Sheet2!$A$1:$I$6, 6)</f>
        <v>1345.2222222222222</v>
      </c>
      <c r="F43">
        <f>VLOOKUP($I43, Sheet2!$A$1:$I$6, 7)</f>
        <v>1891.1333333333334</v>
      </c>
      <c r="G43">
        <f>VLOOKUP($I43, Sheet2!$A$1:$I$6, 8)</f>
        <v>2310.6465116279101</v>
      </c>
      <c r="H43">
        <f>VLOOKUP($I43, Sheet2!$A$1:$I$6, 9)</f>
        <v>2861.9806201550387</v>
      </c>
      <c r="I43">
        <v>5</v>
      </c>
      <c r="J43">
        <v>0</v>
      </c>
      <c r="K43">
        <f>VLOOKUP(I43, Sheet5!$A$1:$D$6, 2)</f>
        <v>3</v>
      </c>
      <c r="L43">
        <f>VLOOKUP(I43, Sheet5!$A$1:$D$6, 3)</f>
        <v>1</v>
      </c>
      <c r="M43">
        <f>VLOOKUP(I43, Sheet5!$A$1:$D$6, 4)</f>
        <v>2</v>
      </c>
    </row>
    <row r="44" spans="1:13" x14ac:dyDescent="0.4">
      <c r="A44">
        <f>VLOOKUP($I44, Sheet2!$A$1:$I$6, 2)</f>
        <v>207</v>
      </c>
      <c r="B44">
        <f>VLOOKUP($I44, Sheet2!$A$1:$I$6, 3)</f>
        <v>621</v>
      </c>
      <c r="C44">
        <f>VLOOKUP($I44, Sheet2!$A$1:$I$6, 4)</f>
        <v>770.38862559241704</v>
      </c>
      <c r="D44">
        <f>VLOOKUP($I44, Sheet2!$A$1:$I$6, 5)</f>
        <v>1176.2511848341233</v>
      </c>
      <c r="E44">
        <f>VLOOKUP($I44, Sheet2!$A$1:$I$6, 6)</f>
        <v>1323.8</v>
      </c>
      <c r="F44">
        <f>VLOOKUP($I44, Sheet2!$A$1:$I$6, 7)</f>
        <v>1926.6666666666699</v>
      </c>
      <c r="G44">
        <f>VLOOKUP($I44, Sheet2!$A$1:$I$6, 8)</f>
        <v>2111.6666666666665</v>
      </c>
      <c r="H44">
        <f>VLOOKUP($I44, Sheet2!$A$1:$I$6, 9)</f>
        <v>2715.9</v>
      </c>
      <c r="I44">
        <v>6</v>
      </c>
      <c r="J44">
        <v>0</v>
      </c>
      <c r="K44">
        <f>VLOOKUP(I44, Sheet5!$A$1:$D$6, 2)</f>
        <v>3</v>
      </c>
      <c r="L44">
        <f>VLOOKUP(I44, Sheet5!$A$1:$D$6, 3)</f>
        <v>2</v>
      </c>
      <c r="M44">
        <f>VLOOKUP(I44, Sheet5!$A$1:$D$6, 4)</f>
        <v>1</v>
      </c>
    </row>
    <row r="45" spans="1:13" x14ac:dyDescent="0.4">
      <c r="A45">
        <f>VLOOKUP($I45, Sheet2!$A$1:$I$6, 2)</f>
        <v>126.33333333333333</v>
      </c>
      <c r="B45">
        <f>VLOOKUP($I45, Sheet2!$A$1:$I$6, 3)</f>
        <v>379</v>
      </c>
      <c r="C45">
        <f>VLOOKUP($I45, Sheet2!$A$1:$I$6, 4)</f>
        <v>740.11111111111109</v>
      </c>
      <c r="D45">
        <f>VLOOKUP($I45, Sheet2!$A$1:$I$6, 5)</f>
        <v>1384.5666666666666</v>
      </c>
      <c r="E45">
        <f>VLOOKUP($I45, Sheet2!$A$1:$I$6, 6)</f>
        <v>1834.68837209302</v>
      </c>
      <c r="F45">
        <f>VLOOKUP($I45, Sheet2!$A$1:$I$6, 7)</f>
        <v>2483.0465116279101</v>
      </c>
      <c r="G45">
        <f>VLOOKUP($I45, Sheet2!$A$1:$I$6, 8)</f>
        <v>2813.8447867298578</v>
      </c>
      <c r="H45">
        <f>VLOOKUP($I45, Sheet2!$A$1:$I$6, 9)</f>
        <v>3380.5734597156397</v>
      </c>
      <c r="I45">
        <v>1</v>
      </c>
      <c r="J45">
        <v>0</v>
      </c>
      <c r="K45">
        <f>VLOOKUP(I45, Sheet5!$A$1:$D$6, 2)</f>
        <v>1</v>
      </c>
      <c r="L45">
        <f>VLOOKUP(I45, Sheet5!$A$1:$D$6, 3)</f>
        <v>2</v>
      </c>
      <c r="M45">
        <f>VLOOKUP(I45, Sheet5!$A$1:$D$6, 4)</f>
        <v>3</v>
      </c>
    </row>
    <row r="46" spans="1:13" x14ac:dyDescent="0.4">
      <c r="A46">
        <f>VLOOKUP($I46, Sheet2!$A$1:$I$6, 2)</f>
        <v>126.33333333333333</v>
      </c>
      <c r="B46">
        <f>VLOOKUP($I46, Sheet2!$A$1:$I$6, 3)</f>
        <v>379</v>
      </c>
      <c r="C46">
        <f>VLOOKUP($I46, Sheet2!$A$1:$I$6, 4)</f>
        <v>707.66666666666663</v>
      </c>
      <c r="D46">
        <f>VLOOKUP($I46, Sheet2!$A$1:$I$6, 5)</f>
        <v>1322.76</v>
      </c>
      <c r="E46">
        <f>VLOOKUP($I46, Sheet2!$A$1:$I$6, 6)</f>
        <v>1626.0402843601896</v>
      </c>
      <c r="F46">
        <f>VLOOKUP($I46, Sheet2!$A$1:$I$6, 7)</f>
        <v>2059.5687203791467</v>
      </c>
      <c r="G46">
        <f>VLOOKUP($I46, Sheet2!$A$1:$I$6, 8)</f>
        <v>2571.5209302325584</v>
      </c>
      <c r="H46">
        <f>VLOOKUP($I46, Sheet2!$A$1:$I$6, 9)</f>
        <v>3031.7829457364342</v>
      </c>
      <c r="I46">
        <v>2</v>
      </c>
      <c r="J46">
        <v>0</v>
      </c>
      <c r="K46">
        <f>VLOOKUP(I46, Sheet5!$A$1:$D$6, 2)</f>
        <v>1</v>
      </c>
      <c r="L46">
        <f>VLOOKUP(I46, Sheet5!$A$1:$D$6, 3)</f>
        <v>3</v>
      </c>
      <c r="M46">
        <f>VLOOKUP(I46, Sheet5!$A$1:$D$6, 4)</f>
        <v>2</v>
      </c>
    </row>
    <row r="47" spans="1:13" x14ac:dyDescent="0.4">
      <c r="A47">
        <f>VLOOKUP($I47, Sheet2!$A$1:$I$6, 2)</f>
        <v>207</v>
      </c>
      <c r="B47">
        <f>VLOOKUP($I47, Sheet2!$A$1:$I$6, 3)</f>
        <v>621</v>
      </c>
      <c r="C47">
        <f>VLOOKUP($I47, Sheet2!$A$1:$I$6, 4)</f>
        <v>709.79620853080598</v>
      </c>
      <c r="D47">
        <f>VLOOKUP($I47, Sheet2!$A$1:$I$6, 5)</f>
        <v>1111.4170616113699</v>
      </c>
      <c r="E47">
        <f>VLOOKUP($I47, Sheet2!$A$1:$I$6, 6)</f>
        <v>1345.2222222222222</v>
      </c>
      <c r="F47">
        <f>VLOOKUP($I47, Sheet2!$A$1:$I$6, 7)</f>
        <v>1891.1333333333334</v>
      </c>
      <c r="G47">
        <f>VLOOKUP($I47, Sheet2!$A$1:$I$6, 8)</f>
        <v>2310.6465116279101</v>
      </c>
      <c r="H47">
        <f>VLOOKUP($I47, Sheet2!$A$1:$I$6, 9)</f>
        <v>2861.9806201550387</v>
      </c>
      <c r="I47">
        <v>5</v>
      </c>
      <c r="J47">
        <v>0</v>
      </c>
      <c r="K47">
        <f>VLOOKUP(I47, Sheet5!$A$1:$D$6, 2)</f>
        <v>3</v>
      </c>
      <c r="L47">
        <f>VLOOKUP(I47, Sheet5!$A$1:$D$6, 3)</f>
        <v>1</v>
      </c>
      <c r="M47">
        <f>VLOOKUP(I47, Sheet5!$A$1:$D$6, 4)</f>
        <v>2</v>
      </c>
    </row>
    <row r="48" spans="1:13" x14ac:dyDescent="0.4">
      <c r="A48">
        <f>VLOOKUP($I48, Sheet2!$A$1:$I$6, 2)</f>
        <v>169.66666666666666</v>
      </c>
      <c r="B48">
        <f>VLOOKUP($I48, Sheet2!$A$1:$I$6, 3)</f>
        <v>509</v>
      </c>
      <c r="C48">
        <f>VLOOKUP($I48, Sheet2!$A$1:$I$6, 4)</f>
        <v>1007.1302325581396</v>
      </c>
      <c r="D48">
        <f>VLOOKUP($I48, Sheet2!$A$1:$I$6, 5)</f>
        <v>1475.7790697674418</v>
      </c>
      <c r="E48">
        <f>VLOOKUP($I48, Sheet2!$A$1:$I$6, 6)</f>
        <v>1820.754739336493</v>
      </c>
      <c r="F48">
        <f>VLOOKUP($I48, Sheet2!$A$1:$I$6, 7)</f>
        <v>2324.4786729857819</v>
      </c>
      <c r="G48">
        <f>VLOOKUP($I48, Sheet2!$A$1:$I$6, 8)</f>
        <v>2593.2222222222222</v>
      </c>
      <c r="H48">
        <f>VLOOKUP($I48, Sheet2!$A$1:$I$6, 9)</f>
        <v>3095.6933333333332</v>
      </c>
      <c r="I48">
        <v>4</v>
      </c>
      <c r="J48">
        <v>0</v>
      </c>
      <c r="K48">
        <f>VLOOKUP(I48, Sheet5!$A$1:$D$6, 2)</f>
        <v>2</v>
      </c>
      <c r="L48">
        <f>VLOOKUP(I48, Sheet5!$A$1:$D$6, 3)</f>
        <v>3</v>
      </c>
      <c r="M48">
        <f>VLOOKUP(I48, Sheet5!$A$1:$D$6, 4)</f>
        <v>1</v>
      </c>
    </row>
    <row r="49" spans="1:13" x14ac:dyDescent="0.4">
      <c r="A49">
        <f>VLOOKUP($I49, Sheet2!$A$1:$I$6, 2)</f>
        <v>126.33333333333333</v>
      </c>
      <c r="B49">
        <f>VLOOKUP($I49, Sheet2!$A$1:$I$6, 3)</f>
        <v>379</v>
      </c>
      <c r="C49">
        <f>VLOOKUP($I49, Sheet2!$A$1:$I$6, 4)</f>
        <v>740.11111111111109</v>
      </c>
      <c r="D49">
        <f>VLOOKUP($I49, Sheet2!$A$1:$I$6, 5)</f>
        <v>1384.5666666666666</v>
      </c>
      <c r="E49">
        <f>VLOOKUP($I49, Sheet2!$A$1:$I$6, 6)</f>
        <v>1834.68837209302</v>
      </c>
      <c r="F49">
        <f>VLOOKUP($I49, Sheet2!$A$1:$I$6, 7)</f>
        <v>2483.0465116279101</v>
      </c>
      <c r="G49">
        <f>VLOOKUP($I49, Sheet2!$A$1:$I$6, 8)</f>
        <v>2813.8447867298578</v>
      </c>
      <c r="H49">
        <f>VLOOKUP($I49, Sheet2!$A$1:$I$6, 9)</f>
        <v>3380.5734597156397</v>
      </c>
      <c r="I49">
        <v>1</v>
      </c>
      <c r="J49">
        <v>0</v>
      </c>
      <c r="K49">
        <f>VLOOKUP(I49, Sheet5!$A$1:$D$6, 2)</f>
        <v>1</v>
      </c>
      <c r="L49">
        <f>VLOOKUP(I49, Sheet5!$A$1:$D$6, 3)</f>
        <v>2</v>
      </c>
      <c r="M49">
        <f>VLOOKUP(I49, Sheet5!$A$1:$D$6, 4)</f>
        <v>3</v>
      </c>
    </row>
    <row r="50" spans="1:13" x14ac:dyDescent="0.4">
      <c r="A50">
        <f>VLOOKUP($I50, Sheet2!$A$1:$I$6, 2)</f>
        <v>126.33333333333333</v>
      </c>
      <c r="B50">
        <f>VLOOKUP($I50, Sheet2!$A$1:$I$6, 3)</f>
        <v>379</v>
      </c>
      <c r="C50">
        <f>VLOOKUP($I50, Sheet2!$A$1:$I$6, 4)</f>
        <v>740.11111111111109</v>
      </c>
      <c r="D50">
        <f>VLOOKUP($I50, Sheet2!$A$1:$I$6, 5)</f>
        <v>1384.5666666666666</v>
      </c>
      <c r="E50">
        <f>VLOOKUP($I50, Sheet2!$A$1:$I$6, 6)</f>
        <v>1834.68837209302</v>
      </c>
      <c r="F50">
        <f>VLOOKUP($I50, Sheet2!$A$1:$I$6, 7)</f>
        <v>2483.0465116279101</v>
      </c>
      <c r="G50">
        <f>VLOOKUP($I50, Sheet2!$A$1:$I$6, 8)</f>
        <v>2813.8447867298578</v>
      </c>
      <c r="H50">
        <f>VLOOKUP($I50, Sheet2!$A$1:$I$6, 9)</f>
        <v>3380.5734597156397</v>
      </c>
      <c r="I50">
        <v>1</v>
      </c>
      <c r="J50">
        <v>0</v>
      </c>
      <c r="K50">
        <f>VLOOKUP(I50, Sheet5!$A$1:$D$6, 2)</f>
        <v>1</v>
      </c>
      <c r="L50">
        <f>VLOOKUP(I50, Sheet5!$A$1:$D$6, 3)</f>
        <v>2</v>
      </c>
      <c r="M50">
        <f>VLOOKUP(I50, Sheet5!$A$1:$D$6, 4)</f>
        <v>3</v>
      </c>
    </row>
    <row r="51" spans="1:13" x14ac:dyDescent="0.4">
      <c r="A51">
        <f>VLOOKUP($I51, Sheet2!$A$1:$I$6, 2)</f>
        <v>207</v>
      </c>
      <c r="B51">
        <f>VLOOKUP($I51, Sheet2!$A$1:$I$6, 3)</f>
        <v>621</v>
      </c>
      <c r="C51">
        <f>VLOOKUP($I51, Sheet2!$A$1:$I$6, 4)</f>
        <v>709.79620853080598</v>
      </c>
      <c r="D51">
        <f>VLOOKUP($I51, Sheet2!$A$1:$I$6, 5)</f>
        <v>1111.4170616113699</v>
      </c>
      <c r="E51">
        <f>VLOOKUP($I51, Sheet2!$A$1:$I$6, 6)</f>
        <v>1345.2222222222222</v>
      </c>
      <c r="F51">
        <f>VLOOKUP($I51, Sheet2!$A$1:$I$6, 7)</f>
        <v>1891.1333333333334</v>
      </c>
      <c r="G51">
        <f>VLOOKUP($I51, Sheet2!$A$1:$I$6, 8)</f>
        <v>2310.6465116279101</v>
      </c>
      <c r="H51">
        <f>VLOOKUP($I51, Sheet2!$A$1:$I$6, 9)</f>
        <v>2861.9806201550387</v>
      </c>
      <c r="I51">
        <v>5</v>
      </c>
      <c r="J51">
        <v>0</v>
      </c>
      <c r="K51">
        <f>VLOOKUP(I51, Sheet5!$A$1:$D$6, 2)</f>
        <v>3</v>
      </c>
      <c r="L51">
        <f>VLOOKUP(I51, Sheet5!$A$1:$D$6, 3)</f>
        <v>1</v>
      </c>
      <c r="M51">
        <f>VLOOKUP(I51, Sheet5!$A$1:$D$6, 4)</f>
        <v>2</v>
      </c>
    </row>
    <row r="52" spans="1:13" x14ac:dyDescent="0.4">
      <c r="A52">
        <f>VLOOKUP($I52, Sheet2!$A$1:$I$6, 2)</f>
        <v>169.66666666666666</v>
      </c>
      <c r="B52">
        <f>VLOOKUP($I52, Sheet2!$A$1:$I$6, 3)</f>
        <v>509</v>
      </c>
      <c r="C52">
        <f>VLOOKUP($I52, Sheet2!$A$1:$I$6, 4)</f>
        <v>755.94883720930204</v>
      </c>
      <c r="D52">
        <f>VLOOKUP($I52, Sheet2!$A$1:$I$6, 5)</f>
        <v>1359.93798449612</v>
      </c>
      <c r="E52">
        <f>VLOOKUP($I52, Sheet2!$A$1:$I$6, 6)</f>
        <v>1785.8888888888887</v>
      </c>
      <c r="F52">
        <f>VLOOKUP($I52, Sheet2!$A$1:$I$6, 7)</f>
        <v>2576.7533333333336</v>
      </c>
      <c r="G52">
        <f>VLOOKUP($I52, Sheet2!$A$1:$I$6, 8)</f>
        <v>2990.5497630331752</v>
      </c>
      <c r="H52">
        <f>VLOOKUP($I52, Sheet2!$A$1:$I$6, 9)</f>
        <v>3453.5260663507111</v>
      </c>
      <c r="I52">
        <v>3</v>
      </c>
      <c r="J52">
        <v>0</v>
      </c>
      <c r="K52">
        <f>VLOOKUP(I52, Sheet5!$A$1:$D$6, 2)</f>
        <v>2</v>
      </c>
      <c r="L52">
        <f>VLOOKUP(I52, Sheet5!$A$1:$D$6, 3)</f>
        <v>1</v>
      </c>
      <c r="M52">
        <f>VLOOKUP(I52, Sheet5!$A$1:$D$6, 4)</f>
        <v>3</v>
      </c>
    </row>
    <row r="53" spans="1:13" x14ac:dyDescent="0.4">
      <c r="A53">
        <f>VLOOKUP($I53, Sheet2!$A$1:$I$6, 2)</f>
        <v>207</v>
      </c>
      <c r="B53">
        <f>VLOOKUP($I53, Sheet2!$A$1:$I$6, 3)</f>
        <v>621</v>
      </c>
      <c r="C53">
        <f>VLOOKUP($I53, Sheet2!$A$1:$I$6, 4)</f>
        <v>770.38862559241704</v>
      </c>
      <c r="D53">
        <f>VLOOKUP($I53, Sheet2!$A$1:$I$6, 5)</f>
        <v>1176.2511848341233</v>
      </c>
      <c r="E53">
        <f>VLOOKUP($I53, Sheet2!$A$1:$I$6, 6)</f>
        <v>1323.8</v>
      </c>
      <c r="F53">
        <f>VLOOKUP($I53, Sheet2!$A$1:$I$6, 7)</f>
        <v>1926.6666666666699</v>
      </c>
      <c r="G53">
        <f>VLOOKUP($I53, Sheet2!$A$1:$I$6, 8)</f>
        <v>2111.6666666666665</v>
      </c>
      <c r="H53">
        <f>VLOOKUP($I53, Sheet2!$A$1:$I$6, 9)</f>
        <v>2715.9</v>
      </c>
      <c r="I53">
        <v>6</v>
      </c>
      <c r="J53">
        <v>0</v>
      </c>
      <c r="K53">
        <f>VLOOKUP(I53, Sheet5!$A$1:$D$6, 2)</f>
        <v>3</v>
      </c>
      <c r="L53">
        <f>VLOOKUP(I53, Sheet5!$A$1:$D$6, 3)</f>
        <v>2</v>
      </c>
      <c r="M53">
        <f>VLOOKUP(I53, Sheet5!$A$1:$D$6, 4)</f>
        <v>1</v>
      </c>
    </row>
    <row r="54" spans="1:13" x14ac:dyDescent="0.4">
      <c r="A54">
        <f>VLOOKUP($I54, Sheet2!$A$1:$I$6, 2)</f>
        <v>169.66666666666666</v>
      </c>
      <c r="B54">
        <f>VLOOKUP($I54, Sheet2!$A$1:$I$6, 3)</f>
        <v>509</v>
      </c>
      <c r="C54">
        <f>VLOOKUP($I54, Sheet2!$A$1:$I$6, 4)</f>
        <v>1007.1302325581396</v>
      </c>
      <c r="D54">
        <f>VLOOKUP($I54, Sheet2!$A$1:$I$6, 5)</f>
        <v>1475.7790697674418</v>
      </c>
      <c r="E54">
        <f>VLOOKUP($I54, Sheet2!$A$1:$I$6, 6)</f>
        <v>1820.754739336493</v>
      </c>
      <c r="F54">
        <f>VLOOKUP($I54, Sheet2!$A$1:$I$6, 7)</f>
        <v>2324.4786729857819</v>
      </c>
      <c r="G54">
        <f>VLOOKUP($I54, Sheet2!$A$1:$I$6, 8)</f>
        <v>2593.2222222222222</v>
      </c>
      <c r="H54">
        <f>VLOOKUP($I54, Sheet2!$A$1:$I$6, 9)</f>
        <v>3095.6933333333332</v>
      </c>
      <c r="I54">
        <v>4</v>
      </c>
      <c r="J54">
        <v>0</v>
      </c>
      <c r="K54">
        <f>VLOOKUP(I54, Sheet5!$A$1:$D$6, 2)</f>
        <v>2</v>
      </c>
      <c r="L54">
        <f>VLOOKUP(I54, Sheet5!$A$1:$D$6, 3)</f>
        <v>3</v>
      </c>
      <c r="M54">
        <f>VLOOKUP(I54, Sheet5!$A$1:$D$6, 4)</f>
        <v>1</v>
      </c>
    </row>
    <row r="55" spans="1:13" x14ac:dyDescent="0.4">
      <c r="A55">
        <f>VLOOKUP($I55, Sheet2!$A$1:$I$6, 2)</f>
        <v>126.33333333333333</v>
      </c>
      <c r="B55">
        <f>VLOOKUP($I55, Sheet2!$A$1:$I$6, 3)</f>
        <v>379</v>
      </c>
      <c r="C55">
        <f>VLOOKUP($I55, Sheet2!$A$1:$I$6, 4)</f>
        <v>707.66666666666663</v>
      </c>
      <c r="D55">
        <f>VLOOKUP($I55, Sheet2!$A$1:$I$6, 5)</f>
        <v>1322.76</v>
      </c>
      <c r="E55">
        <f>VLOOKUP($I55, Sheet2!$A$1:$I$6, 6)</f>
        <v>1626.0402843601896</v>
      </c>
      <c r="F55">
        <f>VLOOKUP($I55, Sheet2!$A$1:$I$6, 7)</f>
        <v>2059.5687203791467</v>
      </c>
      <c r="G55">
        <f>VLOOKUP($I55, Sheet2!$A$1:$I$6, 8)</f>
        <v>2571.5209302325584</v>
      </c>
      <c r="H55">
        <f>VLOOKUP($I55, Sheet2!$A$1:$I$6, 9)</f>
        <v>3031.7829457364342</v>
      </c>
      <c r="I55">
        <v>2</v>
      </c>
      <c r="J55">
        <v>0</v>
      </c>
      <c r="K55">
        <f>VLOOKUP(I55, Sheet5!$A$1:$D$6, 2)</f>
        <v>1</v>
      </c>
      <c r="L55">
        <f>VLOOKUP(I55, Sheet5!$A$1:$D$6, 3)</f>
        <v>3</v>
      </c>
      <c r="M55">
        <f>VLOOKUP(I55, Sheet5!$A$1:$D$6, 4)</f>
        <v>2</v>
      </c>
    </row>
    <row r="56" spans="1:13" x14ac:dyDescent="0.4">
      <c r="A56">
        <f>VLOOKUP($I56, Sheet2!$A$1:$I$6, 2)</f>
        <v>126.33333333333333</v>
      </c>
      <c r="B56">
        <f>VLOOKUP($I56, Sheet2!$A$1:$I$6, 3)</f>
        <v>379</v>
      </c>
      <c r="C56">
        <f>VLOOKUP($I56, Sheet2!$A$1:$I$6, 4)</f>
        <v>740.11111111111109</v>
      </c>
      <c r="D56">
        <f>VLOOKUP($I56, Sheet2!$A$1:$I$6, 5)</f>
        <v>1384.5666666666666</v>
      </c>
      <c r="E56">
        <f>VLOOKUP($I56, Sheet2!$A$1:$I$6, 6)</f>
        <v>1834.68837209302</v>
      </c>
      <c r="F56">
        <f>VLOOKUP($I56, Sheet2!$A$1:$I$6, 7)</f>
        <v>2483.0465116279101</v>
      </c>
      <c r="G56">
        <f>VLOOKUP($I56, Sheet2!$A$1:$I$6, 8)</f>
        <v>2813.8447867298578</v>
      </c>
      <c r="H56">
        <f>VLOOKUP($I56, Sheet2!$A$1:$I$6, 9)</f>
        <v>3380.5734597156397</v>
      </c>
      <c r="I56">
        <v>1</v>
      </c>
      <c r="J56">
        <v>0</v>
      </c>
      <c r="K56">
        <f>VLOOKUP(I56, Sheet5!$A$1:$D$6, 2)</f>
        <v>1</v>
      </c>
      <c r="L56">
        <f>VLOOKUP(I56, Sheet5!$A$1:$D$6, 3)</f>
        <v>2</v>
      </c>
      <c r="M56">
        <f>VLOOKUP(I56, Sheet5!$A$1:$D$6, 4)</f>
        <v>3</v>
      </c>
    </row>
    <row r="57" spans="1:13" s="8" customFormat="1" x14ac:dyDescent="0.4">
      <c r="A57" s="8">
        <f>VLOOKUP($I57, Sheet2!$A$1:$I$6, 2)</f>
        <v>169.66666666666666</v>
      </c>
      <c r="B57" s="8">
        <f>VLOOKUP($I57, Sheet2!$A$1:$I$6, 3)</f>
        <v>509</v>
      </c>
      <c r="C57" s="8">
        <f>VLOOKUP($I57, Sheet2!$A$1:$I$6, 4)</f>
        <v>1007.1302325581396</v>
      </c>
      <c r="D57" s="8">
        <f>VLOOKUP($I57, Sheet2!$A$1:$I$6, 5)</f>
        <v>1475.7790697674418</v>
      </c>
      <c r="E57" s="8">
        <f>VLOOKUP($I57, Sheet2!$A$1:$I$6, 6)</f>
        <v>1820.754739336493</v>
      </c>
      <c r="F57" s="8">
        <f>VLOOKUP($I57, Sheet2!$A$1:$I$6, 7)</f>
        <v>2324.4786729857819</v>
      </c>
      <c r="G57" s="8">
        <f>VLOOKUP($I57, Sheet2!$A$1:$I$6, 8)</f>
        <v>2593.2222222222222</v>
      </c>
      <c r="H57" s="8">
        <f>VLOOKUP($I57, Sheet2!$A$1:$I$6, 9)</f>
        <v>3095.6933333333332</v>
      </c>
      <c r="I57" s="8">
        <v>4</v>
      </c>
      <c r="J57" s="8">
        <v>0</v>
      </c>
      <c r="K57" s="8">
        <f>VLOOKUP(I57, Sheet5!$A$1:$D$6, 2)</f>
        <v>2</v>
      </c>
      <c r="L57" s="8">
        <f>VLOOKUP(I57, Sheet5!$A$1:$D$6, 3)</f>
        <v>3</v>
      </c>
      <c r="M57" s="8">
        <f>VLOOKUP(I57, Sheet5!$A$1:$D$6, 4)</f>
        <v>1</v>
      </c>
    </row>
    <row r="58" spans="1:13" x14ac:dyDescent="0.4">
      <c r="A58">
        <f>VLOOKUP($I58, Sheet2!$A$1:$I$6, 2)</f>
        <v>169.66666666666666</v>
      </c>
      <c r="B58">
        <f>VLOOKUP($I58, Sheet2!$A$1:$I$6, 3)</f>
        <v>509</v>
      </c>
      <c r="C58">
        <f>VLOOKUP($I58, Sheet2!$A$1:$I$6, 4)</f>
        <v>1007.1302325581396</v>
      </c>
      <c r="D58">
        <f>VLOOKUP($I58, Sheet2!$A$1:$I$6, 5)</f>
        <v>1475.7790697674418</v>
      </c>
      <c r="E58">
        <f>VLOOKUP($I58, Sheet2!$A$1:$I$6, 6)</f>
        <v>1820.754739336493</v>
      </c>
      <c r="F58">
        <f>VLOOKUP($I58, Sheet2!$A$1:$I$6, 7)</f>
        <v>2324.4786729857819</v>
      </c>
      <c r="G58">
        <f>VLOOKUP($I58, Sheet2!$A$1:$I$6, 8)</f>
        <v>2593.2222222222222</v>
      </c>
      <c r="H58">
        <f>VLOOKUP($I58, Sheet2!$A$1:$I$6, 9)</f>
        <v>3095.6933333333332</v>
      </c>
      <c r="I58">
        <v>4</v>
      </c>
      <c r="J58">
        <v>0</v>
      </c>
      <c r="K58">
        <f>VLOOKUP(I58, Sheet5!$A$1:$D$6, 2)</f>
        <v>2</v>
      </c>
      <c r="L58">
        <f>VLOOKUP(I58, Sheet5!$A$1:$D$6, 3)</f>
        <v>3</v>
      </c>
      <c r="M58">
        <f>VLOOKUP(I58, Sheet5!$A$1:$D$6, 4)</f>
        <v>1</v>
      </c>
    </row>
    <row r="59" spans="1:13" x14ac:dyDescent="0.4">
      <c r="A59">
        <f>VLOOKUP($I59, Sheet2!$A$1:$I$6, 2)</f>
        <v>207</v>
      </c>
      <c r="B59">
        <f>VLOOKUP($I59, Sheet2!$A$1:$I$6, 3)</f>
        <v>621</v>
      </c>
      <c r="C59">
        <f>VLOOKUP($I59, Sheet2!$A$1:$I$6, 4)</f>
        <v>709.79620853080598</v>
      </c>
      <c r="D59">
        <f>VLOOKUP($I59, Sheet2!$A$1:$I$6, 5)</f>
        <v>1111.4170616113699</v>
      </c>
      <c r="E59">
        <f>VLOOKUP($I59, Sheet2!$A$1:$I$6, 6)</f>
        <v>1345.2222222222222</v>
      </c>
      <c r="F59">
        <f>VLOOKUP($I59, Sheet2!$A$1:$I$6, 7)</f>
        <v>1891.1333333333334</v>
      </c>
      <c r="G59">
        <f>VLOOKUP($I59, Sheet2!$A$1:$I$6, 8)</f>
        <v>2310.6465116279101</v>
      </c>
      <c r="H59">
        <f>VLOOKUP($I59, Sheet2!$A$1:$I$6, 9)</f>
        <v>2861.9806201550387</v>
      </c>
      <c r="I59">
        <v>5</v>
      </c>
      <c r="J59">
        <v>0</v>
      </c>
      <c r="K59">
        <f>VLOOKUP(I59, Sheet5!$A$1:$D$6, 2)</f>
        <v>3</v>
      </c>
      <c r="L59">
        <f>VLOOKUP(I59, Sheet5!$A$1:$D$6, 3)</f>
        <v>1</v>
      </c>
      <c r="M59">
        <f>VLOOKUP(I59, Sheet5!$A$1:$D$6, 4)</f>
        <v>2</v>
      </c>
    </row>
    <row r="60" spans="1:13" x14ac:dyDescent="0.4">
      <c r="A60">
        <f>VLOOKUP($I60, Sheet2!$A$1:$I$6, 2)</f>
        <v>126.33333333333333</v>
      </c>
      <c r="B60">
        <f>VLOOKUP($I60, Sheet2!$A$1:$I$6, 3)</f>
        <v>379</v>
      </c>
      <c r="C60">
        <f>VLOOKUP($I60, Sheet2!$A$1:$I$6, 4)</f>
        <v>740.11111111111109</v>
      </c>
      <c r="D60">
        <f>VLOOKUP($I60, Sheet2!$A$1:$I$6, 5)</f>
        <v>1384.5666666666666</v>
      </c>
      <c r="E60">
        <f>VLOOKUP($I60, Sheet2!$A$1:$I$6, 6)</f>
        <v>1834.68837209302</v>
      </c>
      <c r="F60">
        <f>VLOOKUP($I60, Sheet2!$A$1:$I$6, 7)</f>
        <v>2483.0465116279101</v>
      </c>
      <c r="G60">
        <f>VLOOKUP($I60, Sheet2!$A$1:$I$6, 8)</f>
        <v>2813.8447867298578</v>
      </c>
      <c r="H60">
        <f>VLOOKUP($I60, Sheet2!$A$1:$I$6, 9)</f>
        <v>3380.5734597156397</v>
      </c>
      <c r="I60">
        <v>1</v>
      </c>
      <c r="J60">
        <v>0</v>
      </c>
      <c r="K60">
        <f>VLOOKUP(I60, Sheet5!$A$1:$D$6, 2)</f>
        <v>1</v>
      </c>
      <c r="L60">
        <f>VLOOKUP(I60, Sheet5!$A$1:$D$6, 3)</f>
        <v>2</v>
      </c>
      <c r="M60">
        <f>VLOOKUP(I60, Sheet5!$A$1:$D$6, 4)</f>
        <v>3</v>
      </c>
    </row>
    <row r="61" spans="1:13" x14ac:dyDescent="0.4">
      <c r="A61">
        <f>VLOOKUP($I61, Sheet2!$A$1:$I$6, 2)</f>
        <v>207</v>
      </c>
      <c r="B61">
        <f>VLOOKUP($I61, Sheet2!$A$1:$I$6, 3)</f>
        <v>621</v>
      </c>
      <c r="C61">
        <f>VLOOKUP($I61, Sheet2!$A$1:$I$6, 4)</f>
        <v>709.79620853080598</v>
      </c>
      <c r="D61">
        <f>VLOOKUP($I61, Sheet2!$A$1:$I$6, 5)</f>
        <v>1111.4170616113699</v>
      </c>
      <c r="E61">
        <f>VLOOKUP($I61, Sheet2!$A$1:$I$6, 6)</f>
        <v>1345.2222222222222</v>
      </c>
      <c r="F61">
        <f>VLOOKUP($I61, Sheet2!$A$1:$I$6, 7)</f>
        <v>1891.1333333333334</v>
      </c>
      <c r="G61">
        <f>VLOOKUP($I61, Sheet2!$A$1:$I$6, 8)</f>
        <v>2310.6465116279101</v>
      </c>
      <c r="H61">
        <f>VLOOKUP($I61, Sheet2!$A$1:$I$6, 9)</f>
        <v>2861.9806201550387</v>
      </c>
      <c r="I61">
        <v>5</v>
      </c>
      <c r="J61">
        <v>0</v>
      </c>
      <c r="K61">
        <f>VLOOKUP(I61, Sheet5!$A$1:$D$6, 2)</f>
        <v>3</v>
      </c>
      <c r="L61">
        <f>VLOOKUP(I61, Sheet5!$A$1:$D$6, 3)</f>
        <v>1</v>
      </c>
      <c r="M61">
        <f>VLOOKUP(I61, Sheet5!$A$1:$D$6, 4)</f>
        <v>2</v>
      </c>
    </row>
    <row r="62" spans="1:13" x14ac:dyDescent="0.4">
      <c r="A62">
        <f>VLOOKUP($I62, Sheet2!$A$1:$I$6, 2)</f>
        <v>207</v>
      </c>
      <c r="B62">
        <f>VLOOKUP($I62, Sheet2!$A$1:$I$6, 3)</f>
        <v>621</v>
      </c>
      <c r="C62">
        <f>VLOOKUP($I62, Sheet2!$A$1:$I$6, 4)</f>
        <v>770.38862559241704</v>
      </c>
      <c r="D62">
        <f>VLOOKUP($I62, Sheet2!$A$1:$I$6, 5)</f>
        <v>1176.2511848341233</v>
      </c>
      <c r="E62">
        <f>VLOOKUP($I62, Sheet2!$A$1:$I$6, 6)</f>
        <v>1323.8</v>
      </c>
      <c r="F62">
        <f>VLOOKUP($I62, Sheet2!$A$1:$I$6, 7)</f>
        <v>1926.6666666666699</v>
      </c>
      <c r="G62">
        <f>VLOOKUP($I62, Sheet2!$A$1:$I$6, 8)</f>
        <v>2111.6666666666665</v>
      </c>
      <c r="H62">
        <f>VLOOKUP($I62, Sheet2!$A$1:$I$6, 9)</f>
        <v>2715.9</v>
      </c>
      <c r="I62">
        <v>6</v>
      </c>
      <c r="J62">
        <v>0</v>
      </c>
      <c r="K62">
        <f>VLOOKUP(I62, Sheet5!$A$1:$D$6, 2)</f>
        <v>3</v>
      </c>
      <c r="L62">
        <f>VLOOKUP(I62, Sheet5!$A$1:$D$6, 3)</f>
        <v>2</v>
      </c>
      <c r="M62">
        <f>VLOOKUP(I62, Sheet5!$A$1:$D$6, 4)</f>
        <v>1</v>
      </c>
    </row>
    <row r="63" spans="1:13" x14ac:dyDescent="0.4">
      <c r="A63">
        <f>VLOOKUP($I63, Sheet2!$A$1:$I$6, 2)</f>
        <v>126.33333333333333</v>
      </c>
      <c r="B63">
        <f>VLOOKUP($I63, Sheet2!$A$1:$I$6, 3)</f>
        <v>379</v>
      </c>
      <c r="C63">
        <f>VLOOKUP($I63, Sheet2!$A$1:$I$6, 4)</f>
        <v>740.11111111111109</v>
      </c>
      <c r="D63">
        <f>VLOOKUP($I63, Sheet2!$A$1:$I$6, 5)</f>
        <v>1384.5666666666666</v>
      </c>
      <c r="E63">
        <f>VLOOKUP($I63, Sheet2!$A$1:$I$6, 6)</f>
        <v>1834.68837209302</v>
      </c>
      <c r="F63">
        <f>VLOOKUP($I63, Sheet2!$A$1:$I$6, 7)</f>
        <v>2483.0465116279101</v>
      </c>
      <c r="G63">
        <f>VLOOKUP($I63, Sheet2!$A$1:$I$6, 8)</f>
        <v>2813.8447867298578</v>
      </c>
      <c r="H63">
        <f>VLOOKUP($I63, Sheet2!$A$1:$I$6, 9)</f>
        <v>3380.5734597156397</v>
      </c>
      <c r="I63">
        <v>1</v>
      </c>
      <c r="J63">
        <v>0</v>
      </c>
      <c r="K63">
        <f>VLOOKUP(I63, Sheet5!$A$1:$D$6, 2)</f>
        <v>1</v>
      </c>
      <c r="L63">
        <f>VLOOKUP(I63, Sheet5!$A$1:$D$6, 3)</f>
        <v>2</v>
      </c>
      <c r="M63">
        <f>VLOOKUP(I63, Sheet5!$A$1:$D$6, 4)</f>
        <v>3</v>
      </c>
    </row>
    <row r="64" spans="1:13" x14ac:dyDescent="0.4">
      <c r="A64">
        <f>VLOOKUP($I64, Sheet2!$A$1:$I$6, 2)</f>
        <v>207</v>
      </c>
      <c r="B64">
        <f>VLOOKUP($I64, Sheet2!$A$1:$I$6, 3)</f>
        <v>621</v>
      </c>
      <c r="C64">
        <f>VLOOKUP($I64, Sheet2!$A$1:$I$6, 4)</f>
        <v>770.38862559241704</v>
      </c>
      <c r="D64">
        <f>VLOOKUP($I64, Sheet2!$A$1:$I$6, 5)</f>
        <v>1176.2511848341233</v>
      </c>
      <c r="E64">
        <f>VLOOKUP($I64, Sheet2!$A$1:$I$6, 6)</f>
        <v>1323.8</v>
      </c>
      <c r="F64">
        <f>VLOOKUP($I64, Sheet2!$A$1:$I$6, 7)</f>
        <v>1926.6666666666699</v>
      </c>
      <c r="G64">
        <f>VLOOKUP($I64, Sheet2!$A$1:$I$6, 8)</f>
        <v>2111.6666666666665</v>
      </c>
      <c r="H64">
        <f>VLOOKUP($I64, Sheet2!$A$1:$I$6, 9)</f>
        <v>2715.9</v>
      </c>
      <c r="I64">
        <v>6</v>
      </c>
      <c r="J64">
        <v>0</v>
      </c>
      <c r="K64">
        <f>VLOOKUP(I64, Sheet5!$A$1:$D$6, 2)</f>
        <v>3</v>
      </c>
      <c r="L64">
        <f>VLOOKUP(I64, Sheet5!$A$1:$D$6, 3)</f>
        <v>2</v>
      </c>
      <c r="M64">
        <f>VLOOKUP(I64, Sheet5!$A$1:$D$6, 4)</f>
        <v>1</v>
      </c>
    </row>
    <row r="65" spans="1:13" x14ac:dyDescent="0.4">
      <c r="A65">
        <f>VLOOKUP($I65, Sheet2!$A$1:$I$6, 2)</f>
        <v>169.66666666666666</v>
      </c>
      <c r="B65">
        <f>VLOOKUP($I65, Sheet2!$A$1:$I$6, 3)</f>
        <v>509</v>
      </c>
      <c r="C65">
        <f>VLOOKUP($I65, Sheet2!$A$1:$I$6, 4)</f>
        <v>1007.1302325581396</v>
      </c>
      <c r="D65">
        <f>VLOOKUP($I65, Sheet2!$A$1:$I$6, 5)</f>
        <v>1475.7790697674418</v>
      </c>
      <c r="E65">
        <f>VLOOKUP($I65, Sheet2!$A$1:$I$6, 6)</f>
        <v>1820.754739336493</v>
      </c>
      <c r="F65">
        <f>VLOOKUP($I65, Sheet2!$A$1:$I$6, 7)</f>
        <v>2324.4786729857819</v>
      </c>
      <c r="G65">
        <f>VLOOKUP($I65, Sheet2!$A$1:$I$6, 8)</f>
        <v>2593.2222222222222</v>
      </c>
      <c r="H65">
        <f>VLOOKUP($I65, Sheet2!$A$1:$I$6, 9)</f>
        <v>3095.6933333333332</v>
      </c>
      <c r="I65">
        <v>4</v>
      </c>
      <c r="J65">
        <v>0</v>
      </c>
      <c r="K65">
        <f>VLOOKUP(I65, Sheet5!$A$1:$D$6, 2)</f>
        <v>2</v>
      </c>
      <c r="L65">
        <f>VLOOKUP(I65, Sheet5!$A$1:$D$6, 3)</f>
        <v>3</v>
      </c>
      <c r="M65">
        <f>VLOOKUP(I65, Sheet5!$A$1:$D$6, 4)</f>
        <v>1</v>
      </c>
    </row>
    <row r="66" spans="1:13" x14ac:dyDescent="0.4">
      <c r="A66">
        <f>VLOOKUP($I66, Sheet2!$A$1:$I$6, 2)</f>
        <v>207</v>
      </c>
      <c r="B66">
        <f>VLOOKUP($I66, Sheet2!$A$1:$I$6, 3)</f>
        <v>621</v>
      </c>
      <c r="C66">
        <f>VLOOKUP($I66, Sheet2!$A$1:$I$6, 4)</f>
        <v>709.79620853080598</v>
      </c>
      <c r="D66">
        <f>VLOOKUP($I66, Sheet2!$A$1:$I$6, 5)</f>
        <v>1111.4170616113699</v>
      </c>
      <c r="E66">
        <f>VLOOKUP($I66, Sheet2!$A$1:$I$6, 6)</f>
        <v>1345.2222222222222</v>
      </c>
      <c r="F66">
        <f>VLOOKUP($I66, Sheet2!$A$1:$I$6, 7)</f>
        <v>1891.1333333333334</v>
      </c>
      <c r="G66">
        <f>VLOOKUP($I66, Sheet2!$A$1:$I$6, 8)</f>
        <v>2310.6465116279101</v>
      </c>
      <c r="H66">
        <f>VLOOKUP($I66, Sheet2!$A$1:$I$6, 9)</f>
        <v>2861.9806201550387</v>
      </c>
      <c r="I66">
        <v>5</v>
      </c>
      <c r="J66">
        <v>0</v>
      </c>
      <c r="K66">
        <f>VLOOKUP(I66, Sheet5!$A$1:$D$6, 2)</f>
        <v>3</v>
      </c>
      <c r="L66">
        <f>VLOOKUP(I66, Sheet5!$A$1:$D$6, 3)</f>
        <v>1</v>
      </c>
      <c r="M66">
        <f>VLOOKUP(I66, Sheet5!$A$1:$D$6, 4)</f>
        <v>2</v>
      </c>
    </row>
    <row r="67" spans="1:13" s="8" customFormat="1" x14ac:dyDescent="0.4">
      <c r="A67" s="8">
        <f>VLOOKUP($I67, Sheet2!$A$1:$I$6, 2)</f>
        <v>169.66666666666666</v>
      </c>
      <c r="B67" s="8">
        <f>VLOOKUP($I67, Sheet2!$A$1:$I$6, 3)</f>
        <v>509</v>
      </c>
      <c r="C67" s="8">
        <f>VLOOKUP($I67, Sheet2!$A$1:$I$6, 4)</f>
        <v>755.94883720930204</v>
      </c>
      <c r="D67" s="8">
        <f>VLOOKUP($I67, Sheet2!$A$1:$I$6, 5)</f>
        <v>1359.93798449612</v>
      </c>
      <c r="E67" s="8">
        <f>VLOOKUP($I67, Sheet2!$A$1:$I$6, 6)</f>
        <v>1785.8888888888887</v>
      </c>
      <c r="F67" s="8">
        <f>VLOOKUP($I67, Sheet2!$A$1:$I$6, 7)</f>
        <v>2576.7533333333336</v>
      </c>
      <c r="G67" s="8">
        <f>VLOOKUP($I67, Sheet2!$A$1:$I$6, 8)</f>
        <v>2990.5497630331752</v>
      </c>
      <c r="H67" s="8">
        <f>VLOOKUP($I67, Sheet2!$A$1:$I$6, 9)</f>
        <v>3453.5260663507111</v>
      </c>
      <c r="I67" s="8">
        <v>3</v>
      </c>
      <c r="J67" s="8">
        <v>0</v>
      </c>
      <c r="K67" s="8">
        <f>VLOOKUP(I67, Sheet5!$A$1:$D$6, 2)</f>
        <v>2</v>
      </c>
      <c r="L67" s="8">
        <f>VLOOKUP(I67, Sheet5!$A$1:$D$6, 3)</f>
        <v>1</v>
      </c>
      <c r="M67" s="8">
        <f>VLOOKUP(I67, Sheet5!$A$1:$D$6, 4)</f>
        <v>3</v>
      </c>
    </row>
    <row r="68" spans="1:13" x14ac:dyDescent="0.4">
      <c r="A68">
        <f>VLOOKUP($I68, Sheet2!$A$1:$I$6, 2)</f>
        <v>169.66666666666666</v>
      </c>
      <c r="B68">
        <f>VLOOKUP($I68, Sheet2!$A$1:$I$6, 3)</f>
        <v>509</v>
      </c>
      <c r="C68">
        <f>VLOOKUP($I68, Sheet2!$A$1:$I$6, 4)</f>
        <v>755.94883720930204</v>
      </c>
      <c r="D68">
        <f>VLOOKUP($I68, Sheet2!$A$1:$I$6, 5)</f>
        <v>1359.93798449612</v>
      </c>
      <c r="E68">
        <f>VLOOKUP($I68, Sheet2!$A$1:$I$6, 6)</f>
        <v>1785.8888888888887</v>
      </c>
      <c r="F68">
        <f>VLOOKUP($I68, Sheet2!$A$1:$I$6, 7)</f>
        <v>2576.7533333333336</v>
      </c>
      <c r="G68">
        <f>VLOOKUP($I68, Sheet2!$A$1:$I$6, 8)</f>
        <v>2990.5497630331752</v>
      </c>
      <c r="H68">
        <f>VLOOKUP($I68, Sheet2!$A$1:$I$6, 9)</f>
        <v>3453.5260663507111</v>
      </c>
      <c r="I68">
        <v>3</v>
      </c>
      <c r="J68">
        <v>0</v>
      </c>
      <c r="K68">
        <f>VLOOKUP(I68, Sheet5!$A$1:$D$6, 2)</f>
        <v>2</v>
      </c>
      <c r="L68">
        <f>VLOOKUP(I68, Sheet5!$A$1:$D$6, 3)</f>
        <v>1</v>
      </c>
      <c r="M68">
        <f>VLOOKUP(I68, Sheet5!$A$1:$D$6, 4)</f>
        <v>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9056D-5D3F-4A44-AB09-DDFBBA98AC5D}">
  <dimension ref="A1:AD36"/>
  <sheetViews>
    <sheetView zoomScale="85" zoomScaleNormal="85" workbookViewId="0">
      <selection activeCell="H11" sqref="H11"/>
    </sheetView>
  </sheetViews>
  <sheetFormatPr defaultRowHeight="13.9" x14ac:dyDescent="0.4"/>
  <cols>
    <col min="1" max="1" width="13.796875" customWidth="1"/>
    <col min="4" max="4" width="12.796875" bestFit="1" customWidth="1"/>
    <col min="5" max="6" width="11.6640625" bestFit="1" customWidth="1"/>
    <col min="7" max="7" width="12.796875" bestFit="1" customWidth="1"/>
    <col min="8" max="8" width="11.6640625" bestFit="1" customWidth="1"/>
    <col min="25" max="25" width="12.796875" bestFit="1" customWidth="1"/>
    <col min="26" max="26" width="11.6640625" bestFit="1" customWidth="1"/>
    <col min="28" max="28" width="11.6640625" bestFit="1" customWidth="1"/>
    <col min="30" max="30" width="11.6640625" bestFit="1" customWidth="1"/>
  </cols>
  <sheetData>
    <row r="1" spans="1:30" x14ac:dyDescent="0.4">
      <c r="A1">
        <v>1</v>
      </c>
      <c r="B1" s="9">
        <v>126.33333333333333</v>
      </c>
      <c r="C1" s="9">
        <v>379</v>
      </c>
      <c r="D1" s="9">
        <v>740.11111111111109</v>
      </c>
      <c r="E1" s="9">
        <v>1384.5666666666666</v>
      </c>
      <c r="F1" s="11">
        <v>1834.68837209302</v>
      </c>
      <c r="G1" s="11">
        <v>2483.0465116279101</v>
      </c>
      <c r="H1" s="9">
        <v>2813.8447867298578</v>
      </c>
      <c r="I1" s="9">
        <v>3380.5734597156397</v>
      </c>
      <c r="L1">
        <v>1</v>
      </c>
      <c r="M1">
        <v>2</v>
      </c>
      <c r="N1">
        <v>3</v>
      </c>
      <c r="Q1">
        <v>1</v>
      </c>
      <c r="R1" s="9">
        <v>126.33333333333333</v>
      </c>
      <c r="S1" s="9">
        <v>379</v>
      </c>
      <c r="T1" s="9">
        <v>870.11111111111109</v>
      </c>
      <c r="U1" s="9">
        <v>1314.5666666666666</v>
      </c>
      <c r="V1" s="9">
        <v>2064.6883720930232</v>
      </c>
      <c r="W1" s="9">
        <v>2313.046511627907</v>
      </c>
      <c r="X1" s="9">
        <v>2943.8447867298578</v>
      </c>
      <c r="Y1" s="9">
        <v>3310.5734597156397</v>
      </c>
    </row>
    <row r="2" spans="1:30" x14ac:dyDescent="0.4">
      <c r="A2">
        <v>2</v>
      </c>
      <c r="B2" s="9">
        <v>126.33333333333333</v>
      </c>
      <c r="C2" s="9">
        <v>379</v>
      </c>
      <c r="D2" s="9">
        <v>707.66666666666663</v>
      </c>
      <c r="E2" s="9">
        <v>1322.76</v>
      </c>
      <c r="F2" s="11">
        <v>1626.0402843601896</v>
      </c>
      <c r="G2" s="11">
        <v>2059.5687203791467</v>
      </c>
      <c r="H2" s="9">
        <v>2571.5209302325584</v>
      </c>
      <c r="I2" s="9">
        <v>3031.7829457364342</v>
      </c>
      <c r="L2">
        <v>1</v>
      </c>
      <c r="M2">
        <v>3</v>
      </c>
      <c r="N2">
        <v>2</v>
      </c>
      <c r="Q2">
        <v>2</v>
      </c>
      <c r="R2" s="9">
        <v>126.33333333333333</v>
      </c>
      <c r="S2" s="9">
        <v>379</v>
      </c>
      <c r="T2" s="9">
        <v>837.66666666666663</v>
      </c>
      <c r="U2" s="9">
        <v>1252.76</v>
      </c>
      <c r="V2" s="9">
        <v>1756.0402843601896</v>
      </c>
      <c r="W2" s="9">
        <v>1989.568720379147</v>
      </c>
      <c r="X2" s="9">
        <v>2701.5209302325584</v>
      </c>
      <c r="Y2" s="9">
        <v>2961.7829457364342</v>
      </c>
    </row>
    <row r="3" spans="1:30" x14ac:dyDescent="0.4">
      <c r="A3">
        <v>3</v>
      </c>
      <c r="B3" s="9">
        <v>169.66666666666666</v>
      </c>
      <c r="C3" s="9">
        <v>509</v>
      </c>
      <c r="D3" s="9">
        <v>755.94883720930204</v>
      </c>
      <c r="E3" s="9">
        <v>1359.93798449612</v>
      </c>
      <c r="F3" s="11">
        <v>1785.8888888888887</v>
      </c>
      <c r="G3" s="11">
        <v>2576.7533333333336</v>
      </c>
      <c r="H3" s="9">
        <v>2990.5497630331752</v>
      </c>
      <c r="I3" s="9">
        <v>3453.5260663507111</v>
      </c>
      <c r="L3">
        <v>2</v>
      </c>
      <c r="M3">
        <v>1</v>
      </c>
      <c r="N3">
        <v>3</v>
      </c>
      <c r="Q3">
        <v>3</v>
      </c>
      <c r="R3" s="9">
        <v>169.66666666666666</v>
      </c>
      <c r="S3" s="9">
        <v>509</v>
      </c>
      <c r="T3" s="9">
        <v>985.94883720930238</v>
      </c>
      <c r="U3" s="9">
        <v>1189.937984496124</v>
      </c>
      <c r="V3" s="9">
        <v>1915.8888888888887</v>
      </c>
      <c r="W3" s="9">
        <v>2506.7533333333336</v>
      </c>
      <c r="X3" s="9">
        <v>3120.5497630331752</v>
      </c>
      <c r="Y3" s="9">
        <v>3383.5260663507111</v>
      </c>
    </row>
    <row r="4" spans="1:30" x14ac:dyDescent="0.4">
      <c r="A4">
        <v>4</v>
      </c>
      <c r="B4" s="9">
        <v>169.66666666666666</v>
      </c>
      <c r="C4" s="9">
        <v>509</v>
      </c>
      <c r="D4" s="9">
        <v>1007.1302325581396</v>
      </c>
      <c r="E4" s="9">
        <v>1475.7790697674418</v>
      </c>
      <c r="F4" s="11">
        <v>1820.754739336493</v>
      </c>
      <c r="G4" s="11">
        <v>2324.4786729857819</v>
      </c>
      <c r="H4" s="9">
        <v>2593.2222222222222</v>
      </c>
      <c r="I4" s="9">
        <v>3095.6933333333332</v>
      </c>
      <c r="L4">
        <v>2</v>
      </c>
      <c r="M4">
        <v>3</v>
      </c>
      <c r="N4">
        <v>1</v>
      </c>
      <c r="Q4">
        <v>4</v>
      </c>
      <c r="R4" s="9">
        <v>169.66666666666666</v>
      </c>
      <c r="S4" s="9">
        <v>509</v>
      </c>
      <c r="T4" s="9">
        <v>1137.1302325581396</v>
      </c>
      <c r="U4" s="9">
        <v>1405.7790697674418</v>
      </c>
      <c r="V4" s="9">
        <v>1950.754739336493</v>
      </c>
      <c r="W4" s="9">
        <v>2254.4786729857819</v>
      </c>
      <c r="X4" s="9">
        <v>2723.2222222222222</v>
      </c>
      <c r="Y4" s="9">
        <v>3025.6933333333332</v>
      </c>
    </row>
    <row r="5" spans="1:30" x14ac:dyDescent="0.4">
      <c r="A5">
        <v>5</v>
      </c>
      <c r="B5" s="9">
        <v>207</v>
      </c>
      <c r="C5" s="9">
        <v>621</v>
      </c>
      <c r="D5" s="9">
        <v>709.79620853080598</v>
      </c>
      <c r="E5" s="9">
        <v>1111.4170616113699</v>
      </c>
      <c r="F5" s="11">
        <v>1345.2222222222222</v>
      </c>
      <c r="G5" s="11">
        <v>1891.1333333333334</v>
      </c>
      <c r="H5" s="9">
        <v>2310.6465116279101</v>
      </c>
      <c r="I5" s="9">
        <v>2861.9806201550387</v>
      </c>
      <c r="L5">
        <v>3</v>
      </c>
      <c r="M5">
        <v>1</v>
      </c>
      <c r="N5">
        <v>2</v>
      </c>
      <c r="Q5">
        <v>5</v>
      </c>
      <c r="R5" s="9">
        <v>207</v>
      </c>
      <c r="S5" s="9">
        <v>621</v>
      </c>
      <c r="T5" s="9">
        <v>859.79620853080564</v>
      </c>
      <c r="U5" s="9">
        <v>1021.4170616113744</v>
      </c>
      <c r="V5" s="9">
        <v>1475.2222222222222</v>
      </c>
      <c r="W5" s="9">
        <v>1821.1333333333334</v>
      </c>
      <c r="X5" s="9">
        <v>2540.6465116279069</v>
      </c>
      <c r="Y5" s="9">
        <v>2791.9806201550387</v>
      </c>
    </row>
    <row r="6" spans="1:30" x14ac:dyDescent="0.4">
      <c r="A6">
        <v>6</v>
      </c>
      <c r="B6" s="9">
        <v>207</v>
      </c>
      <c r="C6" s="9">
        <v>621</v>
      </c>
      <c r="D6" s="9">
        <v>770.38862559241704</v>
      </c>
      <c r="E6" s="9">
        <v>1176.2511848341233</v>
      </c>
      <c r="F6" s="11">
        <v>1323.8</v>
      </c>
      <c r="G6" s="11">
        <v>1926.6666666666699</v>
      </c>
      <c r="H6" s="9">
        <v>2111.6666666666665</v>
      </c>
      <c r="I6" s="9">
        <v>2715.9</v>
      </c>
      <c r="L6">
        <v>3</v>
      </c>
      <c r="M6">
        <v>2</v>
      </c>
      <c r="N6">
        <v>1</v>
      </c>
      <c r="Q6">
        <v>6</v>
      </c>
      <c r="R6" s="9">
        <v>207</v>
      </c>
      <c r="S6" s="9">
        <v>621</v>
      </c>
      <c r="T6" s="9">
        <v>910.38862559241704</v>
      </c>
      <c r="U6" s="9">
        <v>1106.2511848341233</v>
      </c>
      <c r="V6" s="9">
        <v>1573.8</v>
      </c>
      <c r="W6" s="9">
        <v>1736.6666666666667</v>
      </c>
      <c r="X6" s="9">
        <v>2241.6666666666665</v>
      </c>
      <c r="Y6" s="9">
        <v>2645.9</v>
      </c>
    </row>
    <row r="9" spans="1:30" x14ac:dyDescent="0.4">
      <c r="A9" s="14" t="s">
        <v>21</v>
      </c>
      <c r="B9" s="14"/>
      <c r="D9">
        <f t="shared" ref="D9:F11" si="0">D13/D$17</f>
        <v>0.44444444444444442</v>
      </c>
      <c r="E9">
        <f t="shared" si="0"/>
        <v>0.63255813953488371</v>
      </c>
      <c r="F9">
        <f t="shared" si="0"/>
        <v>0.50592417061611372</v>
      </c>
      <c r="Y9" s="9">
        <v>130</v>
      </c>
      <c r="Z9">
        <v>70</v>
      </c>
    </row>
    <row r="10" spans="1:30" x14ac:dyDescent="0.4">
      <c r="A10" s="14" t="s">
        <v>22</v>
      </c>
      <c r="B10" s="14"/>
      <c r="D10">
        <f t="shared" si="0"/>
        <v>0.4022222222222222</v>
      </c>
      <c r="E10">
        <f t="shared" si="0"/>
        <v>0.27054263565891473</v>
      </c>
      <c r="F10">
        <f t="shared" si="0"/>
        <v>0.34241706161137442</v>
      </c>
    </row>
    <row r="11" spans="1:30" x14ac:dyDescent="0.4">
      <c r="A11" s="14" t="s">
        <v>23</v>
      </c>
      <c r="B11" s="14"/>
      <c r="D11">
        <f t="shared" si="0"/>
        <v>0.15333333333333332</v>
      </c>
      <c r="E11">
        <f t="shared" si="0"/>
        <v>9.6899224806201556E-2</v>
      </c>
      <c r="F11">
        <f t="shared" si="0"/>
        <v>0.15165876777251186</v>
      </c>
      <c r="R11" s="9">
        <v>870.11111111111109</v>
      </c>
      <c r="S11" s="9">
        <v>1314.5666666666666</v>
      </c>
      <c r="T11" s="9">
        <v>2064.6883720930232</v>
      </c>
      <c r="U11" s="9">
        <v>2313.046511627907</v>
      </c>
      <c r="V11" s="9">
        <v>2943.8447867298578</v>
      </c>
      <c r="W11" s="9">
        <v>3310.5734597156397</v>
      </c>
      <c r="Y11">
        <f>R11-$Y$9</f>
        <v>740.11111111111109</v>
      </c>
      <c r="Z11">
        <f>S11+$Z$9</f>
        <v>1384.5666666666666</v>
      </c>
      <c r="AA11">
        <f t="shared" ref="AA11:AC16" si="1">T11-$Y$9</f>
        <v>1934.6883720930232</v>
      </c>
      <c r="AB11">
        <f>U11+$Z$9</f>
        <v>2383.046511627907</v>
      </c>
      <c r="AC11">
        <f t="shared" si="1"/>
        <v>2813.8447867298578</v>
      </c>
      <c r="AD11">
        <f>W11+$Z$9</f>
        <v>3380.5734597156397</v>
      </c>
    </row>
    <row r="12" spans="1:30" x14ac:dyDescent="0.4">
      <c r="R12" s="9">
        <v>837.66666666666663</v>
      </c>
      <c r="S12" s="9">
        <v>1252.76</v>
      </c>
      <c r="T12" s="9">
        <v>1756.0402843601896</v>
      </c>
      <c r="U12" s="9">
        <v>1989.568720379147</v>
      </c>
      <c r="V12" s="9">
        <v>2701.5209302325584</v>
      </c>
      <c r="W12" s="9">
        <v>2961.7829457364342</v>
      </c>
      <c r="Y12">
        <f t="shared" ref="Y12:Y16" si="2">R12-$Y$9</f>
        <v>707.66666666666663</v>
      </c>
      <c r="Z12">
        <f t="shared" ref="Z12:Z16" si="3">S12+$Z$9</f>
        <v>1322.76</v>
      </c>
      <c r="AA12">
        <f t="shared" si="1"/>
        <v>1626.0402843601896</v>
      </c>
      <c r="AB12">
        <f t="shared" ref="AB12:AB16" si="4">U12+$Z$9</f>
        <v>2059.5687203791467</v>
      </c>
      <c r="AC12">
        <f t="shared" si="1"/>
        <v>2571.5209302325584</v>
      </c>
      <c r="AD12">
        <f t="shared" ref="AD12:AD16" si="5">W12+$Z$9</f>
        <v>3031.7829457364342</v>
      </c>
    </row>
    <row r="13" spans="1:30" x14ac:dyDescent="0.4">
      <c r="A13" s="13" t="s">
        <v>18</v>
      </c>
      <c r="B13" s="13"/>
      <c r="D13" s="5">
        <v>400</v>
      </c>
      <c r="E13" s="5">
        <v>816</v>
      </c>
      <c r="F13" s="5">
        <v>427</v>
      </c>
      <c r="R13" s="9">
        <v>985.94883720930238</v>
      </c>
      <c r="S13" s="9">
        <v>1189.937984496124</v>
      </c>
      <c r="T13" s="9">
        <v>1915.8888888888887</v>
      </c>
      <c r="U13" s="9">
        <v>2506.7533333333336</v>
      </c>
      <c r="V13" s="9">
        <v>3120.5497630331752</v>
      </c>
      <c r="W13" s="9">
        <v>3383.5260663507111</v>
      </c>
      <c r="Y13">
        <f t="shared" si="2"/>
        <v>855.94883720930238</v>
      </c>
      <c r="Z13">
        <f t="shared" si="3"/>
        <v>1259.937984496124</v>
      </c>
      <c r="AA13">
        <f t="shared" si="1"/>
        <v>1785.8888888888887</v>
      </c>
      <c r="AB13">
        <f t="shared" si="4"/>
        <v>2576.7533333333336</v>
      </c>
      <c r="AC13">
        <f t="shared" si="1"/>
        <v>2990.5497630331752</v>
      </c>
      <c r="AD13">
        <f t="shared" si="5"/>
        <v>3453.5260663507111</v>
      </c>
    </row>
    <row r="14" spans="1:30" x14ac:dyDescent="0.4">
      <c r="A14" s="13" t="s">
        <v>13</v>
      </c>
      <c r="B14" s="13"/>
      <c r="D14" s="5">
        <f>D17-D13-D15</f>
        <v>362</v>
      </c>
      <c r="E14" s="5">
        <f>E17-E13-E15</f>
        <v>349</v>
      </c>
      <c r="F14" s="5">
        <f>F17-F13-F15</f>
        <v>289</v>
      </c>
      <c r="R14" s="9">
        <v>1137.1302325581396</v>
      </c>
      <c r="S14" s="9">
        <v>1405.7790697674418</v>
      </c>
      <c r="T14" s="9">
        <v>1950.754739336493</v>
      </c>
      <c r="U14" s="9">
        <v>2254.4786729857819</v>
      </c>
      <c r="V14" s="9">
        <v>2723.2222222222222</v>
      </c>
      <c r="W14" s="9">
        <v>3025.6933333333332</v>
      </c>
      <c r="Y14">
        <f t="shared" si="2"/>
        <v>1007.1302325581396</v>
      </c>
      <c r="Z14">
        <f t="shared" si="3"/>
        <v>1475.7790697674418</v>
      </c>
      <c r="AA14">
        <f t="shared" si="1"/>
        <v>1820.754739336493</v>
      </c>
      <c r="AB14">
        <f t="shared" si="4"/>
        <v>2324.4786729857819</v>
      </c>
      <c r="AC14">
        <f t="shared" si="1"/>
        <v>2593.2222222222222</v>
      </c>
      <c r="AD14">
        <f t="shared" si="5"/>
        <v>3095.6933333333332</v>
      </c>
    </row>
    <row r="15" spans="1:30" x14ac:dyDescent="0.4">
      <c r="A15" s="13" t="s">
        <v>20</v>
      </c>
      <c r="B15" s="13"/>
      <c r="C15" s="1">
        <v>303</v>
      </c>
      <c r="D15" s="1">
        <v>138</v>
      </c>
      <c r="E15" s="2">
        <v>125</v>
      </c>
      <c r="F15" s="1">
        <v>128</v>
      </c>
      <c r="G15" s="3"/>
      <c r="H15" s="3"/>
      <c r="R15" s="9">
        <v>859.79620853080564</v>
      </c>
      <c r="S15" s="9">
        <v>1021.4170616113744</v>
      </c>
      <c r="T15" s="9">
        <v>1475.2222222222222</v>
      </c>
      <c r="U15" s="9">
        <v>1821.1333333333334</v>
      </c>
      <c r="V15" s="9">
        <v>2540.6465116279069</v>
      </c>
      <c r="W15" s="9">
        <v>2791.9806201550387</v>
      </c>
      <c r="Y15">
        <f t="shared" si="2"/>
        <v>729.79620853080564</v>
      </c>
      <c r="Z15">
        <f t="shared" si="3"/>
        <v>1091.4170616113743</v>
      </c>
      <c r="AA15">
        <f t="shared" si="1"/>
        <v>1345.2222222222222</v>
      </c>
      <c r="AB15">
        <f t="shared" si="4"/>
        <v>1891.1333333333334</v>
      </c>
      <c r="AC15">
        <f t="shared" si="1"/>
        <v>2410.6465116279069</v>
      </c>
      <c r="AD15">
        <f t="shared" si="5"/>
        <v>2861.9806201550387</v>
      </c>
    </row>
    <row r="16" spans="1:30" x14ac:dyDescent="0.4">
      <c r="A16" s="13" t="s">
        <v>13</v>
      </c>
      <c r="B16" s="13"/>
      <c r="C16" s="1" t="s">
        <v>14</v>
      </c>
      <c r="D16" s="1" t="s">
        <v>15</v>
      </c>
      <c r="E16" s="1" t="s">
        <v>16</v>
      </c>
      <c r="F16" s="1" t="s">
        <v>17</v>
      </c>
      <c r="G16" s="1"/>
      <c r="H16" s="1"/>
      <c r="R16" s="9">
        <v>910.38862559241704</v>
      </c>
      <c r="S16" s="9">
        <v>1106.2511848341233</v>
      </c>
      <c r="T16" s="9">
        <v>1573.8</v>
      </c>
      <c r="U16" s="9">
        <v>1736.6666666666667</v>
      </c>
      <c r="V16" s="9">
        <v>2241.6666666666665</v>
      </c>
      <c r="W16" s="9">
        <v>2645.9</v>
      </c>
      <c r="Y16">
        <f t="shared" si="2"/>
        <v>780.38862559241704</v>
      </c>
      <c r="Z16">
        <f t="shared" si="3"/>
        <v>1176.2511848341233</v>
      </c>
      <c r="AA16">
        <f t="shared" si="1"/>
        <v>1443.8</v>
      </c>
      <c r="AB16">
        <f t="shared" si="4"/>
        <v>1806.6666666666667</v>
      </c>
      <c r="AC16">
        <f t="shared" si="1"/>
        <v>2111.6666666666665</v>
      </c>
      <c r="AD16">
        <f t="shared" si="5"/>
        <v>2715.9</v>
      </c>
    </row>
    <row r="17" spans="1:8" x14ac:dyDescent="0.4">
      <c r="A17" s="13" t="s">
        <v>19</v>
      </c>
      <c r="B17" s="13"/>
      <c r="C17" s="1">
        <v>455</v>
      </c>
      <c r="D17" s="1">
        <v>900</v>
      </c>
      <c r="E17" s="1">
        <v>1290</v>
      </c>
      <c r="F17" s="1">
        <v>844</v>
      </c>
      <c r="G17" s="1">
        <f>SUM(C17:F17)</f>
        <v>3489</v>
      </c>
      <c r="H17" s="1">
        <v>2789</v>
      </c>
    </row>
    <row r="18" spans="1:8" ht="41.65" x14ac:dyDescent="0.4">
      <c r="A18" s="1" t="s">
        <v>8</v>
      </c>
      <c r="B18" s="1" t="s">
        <v>7</v>
      </c>
      <c r="C18" s="1" t="s">
        <v>0</v>
      </c>
      <c r="D18" s="2" t="s">
        <v>9</v>
      </c>
      <c r="E18" s="2" t="s">
        <v>10</v>
      </c>
      <c r="F18" s="2" t="s">
        <v>11</v>
      </c>
      <c r="G18" s="2" t="s">
        <v>12</v>
      </c>
      <c r="H18" s="3"/>
    </row>
    <row r="19" spans="1:8" x14ac:dyDescent="0.4">
      <c r="A19" s="4" t="s">
        <v>1</v>
      </c>
      <c r="B19" s="1">
        <v>3473</v>
      </c>
      <c r="C19" s="1">
        <v>1</v>
      </c>
      <c r="D19" s="1">
        <v>379</v>
      </c>
      <c r="E19" s="1">
        <v>1484</v>
      </c>
      <c r="F19" s="1">
        <v>2402</v>
      </c>
      <c r="G19" s="1">
        <v>3473</v>
      </c>
      <c r="H19" s="7"/>
    </row>
    <row r="20" spans="1:8" x14ac:dyDescent="0.4">
      <c r="A20" s="4" t="s">
        <v>2</v>
      </c>
      <c r="B20" s="1">
        <v>3055</v>
      </c>
      <c r="C20" s="1">
        <v>2</v>
      </c>
      <c r="D20" s="1">
        <v>379</v>
      </c>
      <c r="E20" s="1">
        <v>1411</v>
      </c>
      <c r="F20" s="1">
        <v>2093</v>
      </c>
      <c r="G20" s="1">
        <v>3055</v>
      </c>
      <c r="H20" s="7"/>
    </row>
    <row r="21" spans="1:8" x14ac:dyDescent="0.4">
      <c r="A21" s="4" t="s">
        <v>3</v>
      </c>
      <c r="B21" s="1">
        <v>3500</v>
      </c>
      <c r="C21" s="1">
        <v>3</v>
      </c>
      <c r="D21" s="1">
        <v>509</v>
      </c>
      <c r="E21" s="1">
        <v>1263</v>
      </c>
      <c r="F21" s="1">
        <v>2732</v>
      </c>
      <c r="G21" s="1">
        <v>3500</v>
      </c>
      <c r="H21" s="7"/>
    </row>
    <row r="22" spans="1:8" x14ac:dyDescent="0.4">
      <c r="A22" s="4" t="s">
        <v>4</v>
      </c>
      <c r="B22" s="1">
        <v>3141</v>
      </c>
      <c r="C22" s="1">
        <v>4</v>
      </c>
      <c r="D22" s="1">
        <v>509</v>
      </c>
      <c r="E22" s="1">
        <v>1502</v>
      </c>
      <c r="F22" s="1">
        <v>2389</v>
      </c>
      <c r="G22" s="1">
        <v>3141</v>
      </c>
      <c r="H22" s="7"/>
    </row>
    <row r="23" spans="1:8" x14ac:dyDescent="0.4">
      <c r="A23" s="4" t="s">
        <v>5</v>
      </c>
      <c r="B23" s="1">
        <v>2882</v>
      </c>
      <c r="C23" s="1">
        <v>5</v>
      </c>
      <c r="D23" s="1">
        <v>621</v>
      </c>
      <c r="E23" s="1">
        <v>1093</v>
      </c>
      <c r="F23" s="1">
        <v>1953</v>
      </c>
      <c r="G23" s="1">
        <v>2882</v>
      </c>
      <c r="H23" s="7"/>
    </row>
    <row r="24" spans="1:8" x14ac:dyDescent="0.4">
      <c r="A24" s="4" t="s">
        <v>6</v>
      </c>
      <c r="B24" s="1">
        <v>2800</v>
      </c>
      <c r="C24" s="1">
        <v>6</v>
      </c>
      <c r="D24" s="1">
        <v>621</v>
      </c>
      <c r="E24" s="1">
        <v>1193</v>
      </c>
      <c r="F24" s="1">
        <v>1795</v>
      </c>
      <c r="G24" s="1">
        <v>2800</v>
      </c>
      <c r="H24" s="7"/>
    </row>
    <row r="31" spans="1:8" x14ac:dyDescent="0.4">
      <c r="B31">
        <f>C1-B1</f>
        <v>252.66666666666669</v>
      </c>
      <c r="D31" s="8">
        <f>E1-D1</f>
        <v>644.45555555555552</v>
      </c>
      <c r="E31" s="8"/>
      <c r="F31" s="8">
        <f t="shared" ref="F31" si="6">G1-F1</f>
        <v>648.35813953489014</v>
      </c>
      <c r="G31" s="8"/>
      <c r="H31" s="8">
        <f>I1-H1</f>
        <v>566.72867298578194</v>
      </c>
    </row>
    <row r="32" spans="1:8" x14ac:dyDescent="0.4">
      <c r="B32">
        <f t="shared" ref="B32:H32" si="7">C2-B2</f>
        <v>252.66666666666669</v>
      </c>
      <c r="D32" s="8">
        <f t="shared" si="7"/>
        <v>615.09333333333336</v>
      </c>
      <c r="E32" s="8"/>
      <c r="F32" s="8">
        <f t="shared" si="7"/>
        <v>433.52843601895711</v>
      </c>
      <c r="G32" s="8"/>
      <c r="H32" s="8">
        <f t="shared" si="7"/>
        <v>460.26201550387577</v>
      </c>
    </row>
    <row r="33" spans="2:8" x14ac:dyDescent="0.4">
      <c r="B33">
        <f t="shared" ref="B33:H33" si="8">C3-B3</f>
        <v>339.33333333333337</v>
      </c>
      <c r="D33" s="8">
        <f t="shared" si="8"/>
        <v>603.98914728681791</v>
      </c>
      <c r="E33" s="8"/>
      <c r="F33" s="8">
        <f t="shared" si="8"/>
        <v>790.86444444444487</v>
      </c>
      <c r="G33" s="8"/>
      <c r="H33" s="8">
        <f t="shared" si="8"/>
        <v>462.97630331753589</v>
      </c>
    </row>
    <row r="34" spans="2:8" x14ac:dyDescent="0.4">
      <c r="B34">
        <f t="shared" ref="B34:H34" si="9">C4-B4</f>
        <v>339.33333333333337</v>
      </c>
      <c r="D34" s="8">
        <f t="shared" si="9"/>
        <v>468.6488372093022</v>
      </c>
      <c r="E34" s="8"/>
      <c r="F34" s="8">
        <f t="shared" si="9"/>
        <v>503.72393364928894</v>
      </c>
      <c r="G34" s="8"/>
      <c r="H34" s="8">
        <f t="shared" si="9"/>
        <v>502.47111111111099</v>
      </c>
    </row>
    <row r="35" spans="2:8" x14ac:dyDescent="0.4">
      <c r="B35">
        <f t="shared" ref="B35:H35" si="10">C5-B5</f>
        <v>414</v>
      </c>
      <c r="D35" s="8">
        <f t="shared" si="10"/>
        <v>401.62085308056396</v>
      </c>
      <c r="E35" s="8"/>
      <c r="F35" s="8">
        <f t="shared" si="10"/>
        <v>545.91111111111127</v>
      </c>
      <c r="G35" s="8"/>
      <c r="H35" s="8">
        <f t="shared" si="10"/>
        <v>551.33410852712859</v>
      </c>
    </row>
    <row r="36" spans="2:8" x14ac:dyDescent="0.4">
      <c r="B36">
        <f t="shared" ref="B36:H36" si="11">C6-B6</f>
        <v>414</v>
      </c>
      <c r="D36" s="8">
        <f t="shared" si="11"/>
        <v>405.86255924170621</v>
      </c>
      <c r="E36" s="8"/>
      <c r="F36" s="8">
        <f t="shared" si="11"/>
        <v>602.86666666666997</v>
      </c>
      <c r="G36" s="8"/>
      <c r="H36" s="8">
        <f t="shared" si="11"/>
        <v>604.23333333333358</v>
      </c>
    </row>
  </sheetData>
  <mergeCells count="8">
    <mergeCell ref="A13:B13"/>
    <mergeCell ref="A9:B9"/>
    <mergeCell ref="A10:B10"/>
    <mergeCell ref="A11:B11"/>
    <mergeCell ref="A17:B17"/>
    <mergeCell ref="A16:B16"/>
    <mergeCell ref="A15:B15"/>
    <mergeCell ref="A14:B14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501BA-FE6E-4CB9-91B6-1B6F80FE28EA}">
  <dimension ref="A1:O38"/>
  <sheetViews>
    <sheetView tabSelected="1" topLeftCell="L1" workbookViewId="0">
      <selection activeCell="L14" sqref="L14"/>
    </sheetView>
  </sheetViews>
  <sheetFormatPr defaultRowHeight="13.9" x14ac:dyDescent="0.4"/>
  <sheetData>
    <row r="1" spans="1:12" x14ac:dyDescent="0.4">
      <c r="A1">
        <v>0</v>
      </c>
      <c r="D1">
        <v>1</v>
      </c>
      <c r="G1">
        <v>2</v>
      </c>
      <c r="J1">
        <v>3</v>
      </c>
    </row>
    <row r="2" spans="1:12" x14ac:dyDescent="0.4">
      <c r="A2" s="3" t="s">
        <v>29</v>
      </c>
      <c r="D2" s="3" t="s">
        <v>30</v>
      </c>
      <c r="G2" s="3" t="s">
        <v>31</v>
      </c>
      <c r="H2" s="3"/>
      <c r="I2" s="3"/>
      <c r="J2" s="3" t="s">
        <v>32</v>
      </c>
    </row>
    <row r="4" spans="1:12" x14ac:dyDescent="0.4">
      <c r="A4">
        <v>126.33333333333333</v>
      </c>
      <c r="B4">
        <v>379</v>
      </c>
      <c r="D4">
        <v>870.11111111111109</v>
      </c>
      <c r="E4">
        <v>1314.5666666666666</v>
      </c>
      <c r="G4">
        <v>2064.6883720930232</v>
      </c>
      <c r="H4">
        <v>2313.046511627907</v>
      </c>
      <c r="J4">
        <v>2943.8447867298578</v>
      </c>
      <c r="K4">
        <v>3310.5734597156397</v>
      </c>
    </row>
    <row r="5" spans="1:12" s="10" customFormat="1" x14ac:dyDescent="0.4">
      <c r="B5" s="10">
        <f>B4-A4</f>
        <v>252.66666666666669</v>
      </c>
      <c r="E5" s="10">
        <f t="shared" ref="E5:K5" si="0">E4-D4</f>
        <v>444.45555555555552</v>
      </c>
      <c r="H5" s="10">
        <f t="shared" si="0"/>
        <v>248.35813953488378</v>
      </c>
      <c r="K5" s="10">
        <f t="shared" si="0"/>
        <v>366.72867298578194</v>
      </c>
    </row>
    <row r="7" spans="1:12" ht="55.5" x14ac:dyDescent="0.4">
      <c r="C7" s="2" t="s">
        <v>9</v>
      </c>
      <c r="F7" s="2" t="s">
        <v>10</v>
      </c>
      <c r="I7" s="2" t="s">
        <v>11</v>
      </c>
      <c r="L7" s="2" t="s">
        <v>12</v>
      </c>
    </row>
    <row r="8" spans="1:12" x14ac:dyDescent="0.4">
      <c r="C8" s="1">
        <v>379</v>
      </c>
      <c r="F8" s="1">
        <v>1484</v>
      </c>
      <c r="I8" s="1">
        <v>2402</v>
      </c>
      <c r="L8" s="1">
        <v>3473</v>
      </c>
    </row>
    <row r="14" spans="1:12" x14ac:dyDescent="0.4">
      <c r="A14" s="3" t="s">
        <v>30</v>
      </c>
    </row>
    <row r="15" spans="1:12" ht="14.45" customHeight="1" x14ac:dyDescent="0.4">
      <c r="B15">
        <v>870.11111111111109</v>
      </c>
      <c r="C15">
        <v>1314.5666666666666</v>
      </c>
    </row>
    <row r="16" spans="1:12" x14ac:dyDescent="0.4">
      <c r="A16" s="1">
        <v>379</v>
      </c>
      <c r="D16" s="1">
        <v>1484</v>
      </c>
    </row>
    <row r="17" spans="1:15" x14ac:dyDescent="0.4">
      <c r="A17">
        <v>0</v>
      </c>
      <c r="B17">
        <v>1</v>
      </c>
      <c r="C17">
        <v>2</v>
      </c>
      <c r="D17">
        <v>3</v>
      </c>
      <c r="E17">
        <v>4</v>
      </c>
      <c r="F17">
        <v>5</v>
      </c>
      <c r="G17">
        <v>5.5</v>
      </c>
      <c r="H17">
        <v>6</v>
      </c>
      <c r="I17">
        <v>7</v>
      </c>
      <c r="J17">
        <v>8</v>
      </c>
      <c r="K17">
        <v>9</v>
      </c>
    </row>
    <row r="18" spans="1:15" x14ac:dyDescent="0.4">
      <c r="A18">
        <v>3</v>
      </c>
      <c r="B18">
        <v>3</v>
      </c>
      <c r="C18">
        <v>3</v>
      </c>
      <c r="D18">
        <v>4</v>
      </c>
      <c r="E18">
        <v>3</v>
      </c>
      <c r="F18">
        <v>3.5</v>
      </c>
      <c r="G18">
        <v>7</v>
      </c>
      <c r="H18">
        <v>11</v>
      </c>
      <c r="I18">
        <v>5</v>
      </c>
      <c r="J18">
        <v>5</v>
      </c>
      <c r="K18">
        <v>3</v>
      </c>
    </row>
    <row r="20" spans="1:15" x14ac:dyDescent="0.4">
      <c r="A20" s="3" t="s">
        <v>31</v>
      </c>
    </row>
    <row r="21" spans="1:15" x14ac:dyDescent="0.4">
      <c r="B21">
        <v>2064.6883720930232</v>
      </c>
      <c r="C21">
        <v>2313.046511627907</v>
      </c>
    </row>
    <row r="22" spans="1:15" x14ac:dyDescent="0.4">
      <c r="A22" s="1">
        <v>1484</v>
      </c>
      <c r="D22" s="1">
        <v>2402</v>
      </c>
    </row>
    <row r="24" spans="1:15" x14ac:dyDescent="0.4">
      <c r="A24">
        <v>0</v>
      </c>
      <c r="B24">
        <v>1</v>
      </c>
      <c r="C24">
        <v>2</v>
      </c>
      <c r="D24">
        <v>3</v>
      </c>
      <c r="E24">
        <v>4</v>
      </c>
      <c r="F24">
        <v>5</v>
      </c>
      <c r="G24">
        <v>6</v>
      </c>
      <c r="H24">
        <v>7</v>
      </c>
      <c r="I24">
        <v>8</v>
      </c>
      <c r="J24">
        <v>8.8000000000000007</v>
      </c>
      <c r="K24">
        <v>9.5</v>
      </c>
      <c r="L24">
        <v>10</v>
      </c>
      <c r="M24">
        <v>11</v>
      </c>
      <c r="N24">
        <v>12</v>
      </c>
      <c r="O24">
        <v>13</v>
      </c>
    </row>
    <row r="25" spans="1:15" x14ac:dyDescent="0.4">
      <c r="A25">
        <v>3</v>
      </c>
      <c r="B25">
        <v>3</v>
      </c>
      <c r="C25">
        <v>3</v>
      </c>
      <c r="D25">
        <v>3</v>
      </c>
      <c r="E25">
        <v>3</v>
      </c>
      <c r="F25">
        <v>3.2</v>
      </c>
      <c r="G25">
        <v>4</v>
      </c>
      <c r="H25">
        <v>3.5</v>
      </c>
      <c r="I25">
        <v>10</v>
      </c>
      <c r="J25">
        <v>11</v>
      </c>
      <c r="K25">
        <v>9</v>
      </c>
      <c r="L25">
        <v>5</v>
      </c>
      <c r="M25">
        <v>7</v>
      </c>
      <c r="N25">
        <v>3.7</v>
      </c>
      <c r="O25">
        <v>3</v>
      </c>
    </row>
    <row r="28" spans="1:15" x14ac:dyDescent="0.4">
      <c r="A28" s="3"/>
    </row>
    <row r="29" spans="1:15" x14ac:dyDescent="0.4">
      <c r="A29" s="3" t="s">
        <v>32</v>
      </c>
    </row>
    <row r="30" spans="1:15" x14ac:dyDescent="0.4">
      <c r="B30">
        <v>2943.8447867298578</v>
      </c>
      <c r="C30">
        <v>3310.5734597156397</v>
      </c>
    </row>
    <row r="31" spans="1:15" x14ac:dyDescent="0.4">
      <c r="A31" s="1">
        <v>2402</v>
      </c>
      <c r="D31" s="1">
        <v>3473</v>
      </c>
    </row>
    <row r="32" spans="1:15" x14ac:dyDescent="0.4">
      <c r="A32">
        <v>0</v>
      </c>
      <c r="B32">
        <v>1</v>
      </c>
      <c r="C32">
        <v>2</v>
      </c>
      <c r="D32">
        <v>3</v>
      </c>
      <c r="E32">
        <v>4</v>
      </c>
      <c r="F32">
        <v>4.5</v>
      </c>
      <c r="G32">
        <v>5</v>
      </c>
      <c r="H32">
        <v>5.5</v>
      </c>
      <c r="I32">
        <v>6</v>
      </c>
      <c r="J32">
        <v>7</v>
      </c>
      <c r="K32">
        <v>7.5</v>
      </c>
      <c r="L32">
        <v>8</v>
      </c>
      <c r="M32">
        <v>8.5</v>
      </c>
    </row>
    <row r="33" spans="1:13" x14ac:dyDescent="0.4">
      <c r="A33">
        <v>3</v>
      </c>
      <c r="B33">
        <v>3</v>
      </c>
      <c r="C33">
        <v>3</v>
      </c>
      <c r="D33">
        <v>4</v>
      </c>
      <c r="E33">
        <v>3</v>
      </c>
      <c r="F33">
        <v>4</v>
      </c>
      <c r="G33">
        <v>9</v>
      </c>
      <c r="H33">
        <v>13</v>
      </c>
      <c r="I33">
        <v>10</v>
      </c>
      <c r="J33">
        <v>9.5</v>
      </c>
      <c r="K33">
        <v>8</v>
      </c>
      <c r="L33">
        <v>5</v>
      </c>
      <c r="M33">
        <v>3.6</v>
      </c>
    </row>
    <row r="37" spans="1:13" x14ac:dyDescent="0.4">
      <c r="A37" s="12">
        <v>3</v>
      </c>
      <c r="B37" s="12">
        <f>AVERAGE(D18:K18)</f>
        <v>5.1875</v>
      </c>
      <c r="C37" s="12">
        <f>AVERAGE(F25:O25)</f>
        <v>5.94</v>
      </c>
      <c r="D37" s="12">
        <f>AVERAGE(D33:M33)</f>
        <v>6.9099999999999993</v>
      </c>
    </row>
    <row r="38" spans="1:13" x14ac:dyDescent="0.4">
      <c r="A38">
        <v>13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584E5-4372-4C78-8466-4AD5EF30A453}">
  <dimension ref="A1:D12"/>
  <sheetViews>
    <sheetView workbookViewId="0">
      <selection activeCell="B1" sqref="B1:D6"/>
    </sheetView>
  </sheetViews>
  <sheetFormatPr defaultRowHeight="13.9" x14ac:dyDescent="0.4"/>
  <sheetData>
    <row r="1" spans="1:4" x14ac:dyDescent="0.4">
      <c r="A1" s="1">
        <v>1</v>
      </c>
      <c r="B1">
        <v>1</v>
      </c>
      <c r="C1">
        <v>2</v>
      </c>
      <c r="D1">
        <v>3</v>
      </c>
    </row>
    <row r="2" spans="1:4" x14ac:dyDescent="0.4">
      <c r="A2" s="1">
        <v>2</v>
      </c>
      <c r="B2">
        <v>1</v>
      </c>
      <c r="C2">
        <v>3</v>
      </c>
      <c r="D2">
        <v>2</v>
      </c>
    </row>
    <row r="3" spans="1:4" x14ac:dyDescent="0.4">
      <c r="A3" s="1">
        <v>3</v>
      </c>
      <c r="B3">
        <v>2</v>
      </c>
      <c r="C3">
        <v>1</v>
      </c>
      <c r="D3">
        <v>3</v>
      </c>
    </row>
    <row r="4" spans="1:4" x14ac:dyDescent="0.4">
      <c r="A4" s="1">
        <v>4</v>
      </c>
      <c r="B4">
        <v>2</v>
      </c>
      <c r="C4">
        <v>3</v>
      </c>
      <c r="D4">
        <v>1</v>
      </c>
    </row>
    <row r="5" spans="1:4" x14ac:dyDescent="0.4">
      <c r="A5" s="1">
        <v>5</v>
      </c>
      <c r="B5">
        <v>3</v>
      </c>
      <c r="C5">
        <v>1</v>
      </c>
      <c r="D5">
        <v>2</v>
      </c>
    </row>
    <row r="6" spans="1:4" x14ac:dyDescent="0.4">
      <c r="A6" s="1">
        <v>6</v>
      </c>
      <c r="B6">
        <v>3</v>
      </c>
      <c r="C6">
        <v>2</v>
      </c>
      <c r="D6">
        <v>1</v>
      </c>
    </row>
    <row r="12" spans="1:4" x14ac:dyDescent="0.4">
      <c r="B12" t="s">
        <v>33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5"/>
  <sheetViews>
    <sheetView workbookViewId="0">
      <selection activeCell="H10" sqref="H10"/>
    </sheetView>
  </sheetViews>
  <sheetFormatPr defaultColWidth="8.796875" defaultRowHeight="13.9" x14ac:dyDescent="0.4"/>
  <cols>
    <col min="1" max="3" width="8.796875" style="1"/>
    <col min="4" max="4" width="11.6640625" style="1" customWidth="1"/>
    <col min="5" max="16384" width="8.796875" style="1"/>
  </cols>
  <sheetData>
    <row r="1" spans="1:7" x14ac:dyDescent="0.4">
      <c r="A1" s="1">
        <v>0</v>
      </c>
      <c r="B1" s="1">
        <v>1</v>
      </c>
      <c r="C1" s="1">
        <v>2</v>
      </c>
      <c r="D1" s="1">
        <v>3</v>
      </c>
      <c r="E1" s="1">
        <v>4</v>
      </c>
    </row>
    <row r="2" spans="1:7" x14ac:dyDescent="0.4">
      <c r="A2" s="1">
        <v>0</v>
      </c>
      <c r="B2" s="1">
        <v>621</v>
      </c>
      <c r="C2" s="1">
        <v>1193</v>
      </c>
      <c r="D2" s="1">
        <v>1795</v>
      </c>
      <c r="E2" s="1">
        <v>4500</v>
      </c>
      <c r="F2" s="3"/>
      <c r="G2" s="3"/>
    </row>
    <row r="3" spans="1:7" x14ac:dyDescent="0.4">
      <c r="A3" s="1">
        <v>0</v>
      </c>
      <c r="B3" s="1">
        <v>379</v>
      </c>
      <c r="C3" s="1">
        <v>1411</v>
      </c>
      <c r="D3" s="1">
        <v>2093</v>
      </c>
      <c r="E3" s="1">
        <v>4500</v>
      </c>
    </row>
    <row r="4" spans="1:7" x14ac:dyDescent="0.4">
      <c r="A4" s="1">
        <v>0</v>
      </c>
      <c r="B4" s="1">
        <v>621</v>
      </c>
      <c r="C4" s="1">
        <v>1193</v>
      </c>
      <c r="D4" s="1">
        <v>1795</v>
      </c>
      <c r="E4" s="1">
        <v>4500</v>
      </c>
    </row>
    <row r="5" spans="1:7" x14ac:dyDescent="0.4">
      <c r="A5" s="1">
        <v>0</v>
      </c>
      <c r="B5" s="1">
        <v>379</v>
      </c>
      <c r="C5" s="1">
        <v>1484</v>
      </c>
      <c r="D5" s="1">
        <v>2402</v>
      </c>
      <c r="E5" s="1">
        <v>4500</v>
      </c>
    </row>
    <row r="6" spans="1:7" x14ac:dyDescent="0.4">
      <c r="A6" s="1">
        <v>0</v>
      </c>
      <c r="B6" s="1">
        <v>509</v>
      </c>
      <c r="C6" s="1">
        <v>1263</v>
      </c>
      <c r="D6" s="1">
        <v>2732</v>
      </c>
      <c r="E6" s="1">
        <v>4500</v>
      </c>
    </row>
    <row r="7" spans="1:7" x14ac:dyDescent="0.4">
      <c r="A7" s="1">
        <v>0</v>
      </c>
      <c r="B7" s="1">
        <v>509</v>
      </c>
      <c r="C7" s="1">
        <v>1263</v>
      </c>
      <c r="D7" s="1">
        <v>2732</v>
      </c>
      <c r="E7" s="1">
        <v>4500</v>
      </c>
    </row>
    <row r="8" spans="1:7" x14ac:dyDescent="0.4">
      <c r="A8" s="1">
        <v>0</v>
      </c>
      <c r="B8" s="1">
        <v>379</v>
      </c>
      <c r="C8" s="1">
        <v>1484</v>
      </c>
      <c r="D8" s="1">
        <v>2402</v>
      </c>
      <c r="E8" s="1">
        <v>4500</v>
      </c>
    </row>
    <row r="9" spans="1:7" x14ac:dyDescent="0.4">
      <c r="A9" s="1">
        <v>0</v>
      </c>
      <c r="B9" s="1">
        <v>621</v>
      </c>
      <c r="C9" s="1">
        <v>1193</v>
      </c>
      <c r="D9" s="1">
        <v>1795</v>
      </c>
      <c r="E9" s="1">
        <v>4500</v>
      </c>
    </row>
    <row r="10" spans="1:7" x14ac:dyDescent="0.4">
      <c r="A10" s="1">
        <v>0</v>
      </c>
      <c r="B10" s="1">
        <v>509</v>
      </c>
      <c r="C10" s="1">
        <v>1263</v>
      </c>
      <c r="D10" s="1">
        <v>2732</v>
      </c>
      <c r="E10" s="1">
        <v>4500</v>
      </c>
    </row>
    <row r="11" spans="1:7" x14ac:dyDescent="0.4">
      <c r="A11" s="1">
        <v>0</v>
      </c>
      <c r="B11" s="1">
        <v>379</v>
      </c>
      <c r="C11" s="1">
        <v>1484</v>
      </c>
      <c r="D11" s="1">
        <v>2402</v>
      </c>
      <c r="E11" s="1">
        <v>4500</v>
      </c>
    </row>
    <row r="12" spans="1:7" x14ac:dyDescent="0.4">
      <c r="A12" s="1">
        <v>0</v>
      </c>
      <c r="B12" s="1">
        <v>621</v>
      </c>
      <c r="C12" s="1">
        <v>1193</v>
      </c>
      <c r="D12" s="1">
        <v>1795</v>
      </c>
      <c r="E12" s="1">
        <v>4500</v>
      </c>
    </row>
    <row r="13" spans="1:7" x14ac:dyDescent="0.4">
      <c r="A13" s="1">
        <v>0</v>
      </c>
      <c r="B13" s="1">
        <v>621</v>
      </c>
      <c r="C13" s="1">
        <v>1093</v>
      </c>
      <c r="D13" s="1">
        <v>1953</v>
      </c>
      <c r="E13" s="1">
        <v>4500</v>
      </c>
    </row>
    <row r="14" spans="1:7" x14ac:dyDescent="0.4">
      <c r="A14" s="1">
        <v>0</v>
      </c>
      <c r="B14" s="1">
        <v>621</v>
      </c>
      <c r="C14" s="1">
        <v>1193</v>
      </c>
      <c r="D14" s="1">
        <v>1795</v>
      </c>
      <c r="E14" s="1">
        <v>4500</v>
      </c>
    </row>
    <row r="15" spans="1:7" x14ac:dyDescent="0.4">
      <c r="A15" s="1">
        <v>0</v>
      </c>
      <c r="B15" s="1">
        <v>509</v>
      </c>
      <c r="C15" s="1">
        <v>1263</v>
      </c>
      <c r="D15" s="1">
        <v>2732</v>
      </c>
      <c r="E15" s="1">
        <v>4500</v>
      </c>
    </row>
    <row r="16" spans="1:7" x14ac:dyDescent="0.4">
      <c r="A16" s="1">
        <v>0</v>
      </c>
      <c r="B16" s="1">
        <v>379</v>
      </c>
      <c r="C16" s="1">
        <v>1484</v>
      </c>
      <c r="D16" s="1">
        <v>2402</v>
      </c>
      <c r="E16" s="1">
        <v>4500</v>
      </c>
    </row>
    <row r="17" spans="1:5" x14ac:dyDescent="0.4">
      <c r="A17" s="1">
        <v>0</v>
      </c>
      <c r="B17" s="1">
        <v>621</v>
      </c>
      <c r="C17" s="1">
        <v>1093</v>
      </c>
      <c r="D17" s="1">
        <v>1953</v>
      </c>
      <c r="E17" s="1">
        <v>4500</v>
      </c>
    </row>
    <row r="18" spans="1:5" x14ac:dyDescent="0.4">
      <c r="A18" s="1">
        <v>0</v>
      </c>
      <c r="B18" s="1">
        <v>509</v>
      </c>
      <c r="C18" s="1">
        <v>1502</v>
      </c>
      <c r="D18" s="1">
        <v>2389</v>
      </c>
      <c r="E18" s="1">
        <v>4500</v>
      </c>
    </row>
    <row r="19" spans="1:5" x14ac:dyDescent="0.4">
      <c r="A19" s="1">
        <v>0</v>
      </c>
      <c r="B19" s="1">
        <v>379</v>
      </c>
      <c r="C19" s="1">
        <v>1411</v>
      </c>
      <c r="D19" s="1">
        <v>2093</v>
      </c>
      <c r="E19" s="1">
        <v>4500</v>
      </c>
    </row>
    <row r="20" spans="1:5" x14ac:dyDescent="0.4">
      <c r="A20" s="1">
        <v>0</v>
      </c>
      <c r="B20" s="1">
        <v>509</v>
      </c>
      <c r="C20" s="1">
        <v>1263</v>
      </c>
      <c r="D20" s="1">
        <v>2732</v>
      </c>
      <c r="E20" s="1">
        <v>4500</v>
      </c>
    </row>
    <row r="21" spans="1:5" x14ac:dyDescent="0.4">
      <c r="A21" s="1">
        <v>0</v>
      </c>
      <c r="B21" s="1">
        <v>621</v>
      </c>
      <c r="C21" s="1">
        <v>1093</v>
      </c>
      <c r="D21" s="1">
        <v>1953</v>
      </c>
      <c r="E21" s="1">
        <v>4500</v>
      </c>
    </row>
    <row r="22" spans="1:5" x14ac:dyDescent="0.4">
      <c r="A22" s="1">
        <v>0</v>
      </c>
      <c r="B22" s="1">
        <v>509</v>
      </c>
      <c r="C22" s="1">
        <v>1263</v>
      </c>
      <c r="D22" s="1">
        <v>2732</v>
      </c>
      <c r="E22" s="1">
        <v>4500</v>
      </c>
    </row>
    <row r="23" spans="1:5" x14ac:dyDescent="0.4">
      <c r="A23" s="1">
        <v>0</v>
      </c>
      <c r="B23" s="1">
        <v>621</v>
      </c>
      <c r="C23" s="1">
        <v>1193</v>
      </c>
      <c r="D23" s="1">
        <v>1795</v>
      </c>
      <c r="E23" s="1">
        <v>4500</v>
      </c>
    </row>
    <row r="24" spans="1:5" x14ac:dyDescent="0.4">
      <c r="A24" s="1">
        <v>0</v>
      </c>
      <c r="B24" s="1">
        <v>621</v>
      </c>
      <c r="C24" s="1">
        <v>1193</v>
      </c>
      <c r="D24" s="1">
        <v>1795</v>
      </c>
      <c r="E24" s="1">
        <v>4500</v>
      </c>
    </row>
    <row r="25" spans="1:5" x14ac:dyDescent="0.4">
      <c r="A25" s="1">
        <v>0</v>
      </c>
      <c r="B25" s="1">
        <v>621</v>
      </c>
      <c r="C25" s="1">
        <v>1093</v>
      </c>
      <c r="D25" s="1">
        <v>1953</v>
      </c>
      <c r="E25" s="1">
        <v>4500</v>
      </c>
    </row>
    <row r="26" spans="1:5" x14ac:dyDescent="0.4">
      <c r="A26" s="1">
        <v>0</v>
      </c>
      <c r="B26" s="1">
        <v>621</v>
      </c>
      <c r="C26" s="1">
        <v>1093</v>
      </c>
      <c r="D26" s="1">
        <v>1953</v>
      </c>
      <c r="E26" s="1">
        <v>4500</v>
      </c>
    </row>
    <row r="27" spans="1:5" x14ac:dyDescent="0.4">
      <c r="A27" s="1">
        <v>0</v>
      </c>
      <c r="B27" s="1">
        <v>509</v>
      </c>
      <c r="C27" s="1">
        <v>1502</v>
      </c>
      <c r="D27" s="1">
        <v>2389</v>
      </c>
      <c r="E27" s="1">
        <v>4500</v>
      </c>
    </row>
    <row r="28" spans="1:5" x14ac:dyDescent="0.4">
      <c r="A28" s="1">
        <v>0</v>
      </c>
      <c r="B28" s="1">
        <v>379</v>
      </c>
      <c r="C28" s="1">
        <v>1411</v>
      </c>
      <c r="D28" s="1">
        <v>2093</v>
      </c>
      <c r="E28" s="1">
        <v>4500</v>
      </c>
    </row>
    <row r="29" spans="1:5" x14ac:dyDescent="0.4">
      <c r="A29" s="1">
        <v>0</v>
      </c>
      <c r="B29" s="1">
        <v>509</v>
      </c>
      <c r="C29" s="1">
        <v>1502</v>
      </c>
      <c r="D29" s="1">
        <v>2389</v>
      </c>
      <c r="E29" s="1">
        <v>4500</v>
      </c>
    </row>
    <row r="30" spans="1:5" x14ac:dyDescent="0.4">
      <c r="A30" s="1">
        <v>0</v>
      </c>
      <c r="B30" s="1">
        <v>621</v>
      </c>
      <c r="C30" s="1">
        <v>1193</v>
      </c>
      <c r="D30" s="1">
        <v>1795</v>
      </c>
      <c r="E30" s="1">
        <v>4500</v>
      </c>
    </row>
    <row r="31" spans="1:5" x14ac:dyDescent="0.4">
      <c r="A31" s="1">
        <v>0</v>
      </c>
      <c r="B31" s="1">
        <v>379</v>
      </c>
      <c r="C31" s="1">
        <v>1484</v>
      </c>
      <c r="D31" s="1">
        <v>2402</v>
      </c>
      <c r="E31" s="1">
        <v>4500</v>
      </c>
    </row>
    <row r="32" spans="1:5" x14ac:dyDescent="0.4">
      <c r="A32" s="1">
        <v>0</v>
      </c>
      <c r="B32" s="1">
        <v>509</v>
      </c>
      <c r="C32" s="1">
        <v>1502</v>
      </c>
      <c r="D32" s="1">
        <v>2389</v>
      </c>
      <c r="E32" s="1">
        <v>4500</v>
      </c>
    </row>
    <row r="33" spans="1:5" x14ac:dyDescent="0.4">
      <c r="A33" s="1">
        <v>0</v>
      </c>
      <c r="B33" s="1">
        <v>621</v>
      </c>
      <c r="C33" s="1">
        <v>1093</v>
      </c>
      <c r="D33" s="1">
        <v>1953</v>
      </c>
      <c r="E33" s="1">
        <v>4500</v>
      </c>
    </row>
    <row r="34" spans="1:5" x14ac:dyDescent="0.4">
      <c r="A34" s="1">
        <v>0</v>
      </c>
      <c r="B34" s="1">
        <v>379</v>
      </c>
      <c r="C34" s="1">
        <v>1484</v>
      </c>
      <c r="D34" s="1">
        <v>2402</v>
      </c>
      <c r="E34" s="1">
        <v>4500</v>
      </c>
    </row>
    <row r="35" spans="1:5" x14ac:dyDescent="0.4">
      <c r="A35" s="1">
        <v>0</v>
      </c>
      <c r="B35" s="1">
        <v>379</v>
      </c>
      <c r="C35" s="1">
        <v>1484</v>
      </c>
      <c r="D35" s="1">
        <v>2402</v>
      </c>
      <c r="E35" s="1">
        <v>4500</v>
      </c>
    </row>
    <row r="36" spans="1:5" x14ac:dyDescent="0.4">
      <c r="A36" s="1">
        <v>0</v>
      </c>
      <c r="B36" s="1">
        <v>379</v>
      </c>
      <c r="C36" s="1">
        <v>1411</v>
      </c>
      <c r="D36" s="1">
        <v>2093</v>
      </c>
      <c r="E36" s="1">
        <v>4500</v>
      </c>
    </row>
    <row r="37" spans="1:5" x14ac:dyDescent="0.4">
      <c r="A37" s="1">
        <v>0</v>
      </c>
      <c r="B37" s="1">
        <v>509</v>
      </c>
      <c r="C37" s="1">
        <v>1502</v>
      </c>
      <c r="D37" s="1">
        <v>2389</v>
      </c>
      <c r="E37" s="1">
        <v>4500</v>
      </c>
    </row>
    <row r="38" spans="1:5" x14ac:dyDescent="0.4">
      <c r="A38" s="1">
        <v>0</v>
      </c>
      <c r="B38" s="1">
        <v>379</v>
      </c>
      <c r="C38" s="1">
        <v>1411</v>
      </c>
      <c r="D38" s="1">
        <v>2093</v>
      </c>
      <c r="E38" s="1">
        <v>4500</v>
      </c>
    </row>
    <row r="39" spans="1:5" x14ac:dyDescent="0.4">
      <c r="A39" s="1">
        <v>0</v>
      </c>
      <c r="B39" s="1">
        <v>509</v>
      </c>
      <c r="C39" s="1">
        <v>1502</v>
      </c>
      <c r="D39" s="1">
        <v>2389</v>
      </c>
      <c r="E39" s="1">
        <v>4500</v>
      </c>
    </row>
    <row r="40" spans="1:5" x14ac:dyDescent="0.4">
      <c r="A40" s="1">
        <v>0</v>
      </c>
      <c r="B40" s="1">
        <v>379</v>
      </c>
      <c r="C40" s="1">
        <v>1411</v>
      </c>
      <c r="D40" s="1">
        <v>2093</v>
      </c>
      <c r="E40" s="1">
        <v>4500</v>
      </c>
    </row>
    <row r="41" spans="1:5" x14ac:dyDescent="0.4">
      <c r="A41" s="1">
        <v>0</v>
      </c>
      <c r="B41" s="1">
        <v>621</v>
      </c>
      <c r="C41" s="1">
        <v>1093</v>
      </c>
      <c r="D41" s="1">
        <v>1953</v>
      </c>
      <c r="E41" s="1">
        <v>4500</v>
      </c>
    </row>
    <row r="42" spans="1:5" x14ac:dyDescent="0.4">
      <c r="A42" s="1">
        <v>0</v>
      </c>
      <c r="B42" s="1">
        <v>621</v>
      </c>
      <c r="C42" s="1">
        <v>1093</v>
      </c>
      <c r="D42" s="1">
        <v>1953</v>
      </c>
      <c r="E42" s="1">
        <v>4500</v>
      </c>
    </row>
    <row r="43" spans="1:5" x14ac:dyDescent="0.4">
      <c r="A43" s="1">
        <v>0</v>
      </c>
      <c r="B43" s="1">
        <v>621</v>
      </c>
      <c r="C43" s="1">
        <v>1193</v>
      </c>
      <c r="D43" s="1">
        <v>1795</v>
      </c>
      <c r="E43" s="1">
        <v>4500</v>
      </c>
    </row>
    <row r="44" spans="1:5" x14ac:dyDescent="0.4">
      <c r="A44" s="1">
        <v>0</v>
      </c>
      <c r="B44" s="1">
        <v>379</v>
      </c>
      <c r="C44" s="1">
        <v>1484</v>
      </c>
      <c r="D44" s="1">
        <v>2402</v>
      </c>
      <c r="E44" s="1">
        <v>4500</v>
      </c>
    </row>
    <row r="45" spans="1:5" x14ac:dyDescent="0.4">
      <c r="A45" s="1">
        <v>0</v>
      </c>
      <c r="B45" s="1">
        <v>379</v>
      </c>
      <c r="C45" s="1">
        <v>1411</v>
      </c>
      <c r="D45" s="1">
        <v>2093</v>
      </c>
      <c r="E45" s="1">
        <v>4500</v>
      </c>
    </row>
    <row r="46" spans="1:5" x14ac:dyDescent="0.4">
      <c r="A46" s="1">
        <v>0</v>
      </c>
      <c r="B46" s="1">
        <v>621</v>
      </c>
      <c r="C46" s="1">
        <v>1093</v>
      </c>
      <c r="D46" s="1">
        <v>1953</v>
      </c>
      <c r="E46" s="1">
        <v>4500</v>
      </c>
    </row>
    <row r="47" spans="1:5" x14ac:dyDescent="0.4">
      <c r="A47" s="1">
        <v>0</v>
      </c>
      <c r="B47" s="1">
        <v>509</v>
      </c>
      <c r="C47" s="1">
        <v>1502</v>
      </c>
      <c r="D47" s="1">
        <v>2389</v>
      </c>
      <c r="E47" s="1">
        <v>4500</v>
      </c>
    </row>
    <row r="48" spans="1:5" x14ac:dyDescent="0.4">
      <c r="A48" s="1">
        <v>0</v>
      </c>
      <c r="B48" s="1">
        <v>379</v>
      </c>
      <c r="C48" s="1">
        <v>1484</v>
      </c>
      <c r="D48" s="1">
        <v>2402</v>
      </c>
      <c r="E48" s="1">
        <v>4500</v>
      </c>
    </row>
    <row r="49" spans="1:5" x14ac:dyDescent="0.4">
      <c r="A49" s="1">
        <v>0</v>
      </c>
      <c r="B49" s="1">
        <v>379</v>
      </c>
      <c r="C49" s="1">
        <v>1484</v>
      </c>
      <c r="D49" s="1">
        <v>2402</v>
      </c>
      <c r="E49" s="1">
        <v>4500</v>
      </c>
    </row>
    <row r="50" spans="1:5" x14ac:dyDescent="0.4">
      <c r="A50" s="1">
        <v>0</v>
      </c>
      <c r="B50" s="1">
        <v>621</v>
      </c>
      <c r="C50" s="1">
        <v>1093</v>
      </c>
      <c r="D50" s="1">
        <v>1953</v>
      </c>
      <c r="E50" s="1">
        <v>4500</v>
      </c>
    </row>
    <row r="51" spans="1:5" x14ac:dyDescent="0.4">
      <c r="A51" s="1">
        <v>0</v>
      </c>
      <c r="B51" s="1">
        <v>509</v>
      </c>
      <c r="C51" s="1">
        <v>1263</v>
      </c>
      <c r="D51" s="1">
        <v>2732</v>
      </c>
      <c r="E51" s="1">
        <v>4500</v>
      </c>
    </row>
    <row r="52" spans="1:5" x14ac:dyDescent="0.4">
      <c r="A52" s="1">
        <v>0</v>
      </c>
      <c r="B52" s="1">
        <v>621</v>
      </c>
      <c r="C52" s="1">
        <v>1193</v>
      </c>
      <c r="D52" s="1">
        <v>1795</v>
      </c>
      <c r="E52" s="1">
        <v>4500</v>
      </c>
    </row>
    <row r="53" spans="1:5" x14ac:dyDescent="0.4">
      <c r="A53" s="1">
        <v>0</v>
      </c>
      <c r="B53" s="1">
        <v>509</v>
      </c>
      <c r="C53" s="1">
        <v>1502</v>
      </c>
      <c r="D53" s="1">
        <v>2389</v>
      </c>
      <c r="E53" s="1">
        <v>4500</v>
      </c>
    </row>
    <row r="54" spans="1:5" x14ac:dyDescent="0.4">
      <c r="A54" s="1">
        <v>0</v>
      </c>
      <c r="B54" s="1">
        <v>379</v>
      </c>
      <c r="C54" s="1">
        <v>1411</v>
      </c>
      <c r="D54" s="1">
        <v>2093</v>
      </c>
      <c r="E54" s="1">
        <v>4500</v>
      </c>
    </row>
    <row r="55" spans="1:5" x14ac:dyDescent="0.4">
      <c r="A55" s="1">
        <v>0</v>
      </c>
      <c r="B55" s="1">
        <v>379</v>
      </c>
      <c r="C55" s="1">
        <v>1484</v>
      </c>
      <c r="D55" s="1">
        <v>2402</v>
      </c>
      <c r="E55" s="1">
        <v>4500</v>
      </c>
    </row>
    <row r="56" spans="1:5" x14ac:dyDescent="0.4">
      <c r="A56" s="1">
        <v>0</v>
      </c>
      <c r="B56" s="1">
        <v>509</v>
      </c>
      <c r="C56" s="1">
        <v>1502</v>
      </c>
      <c r="D56" s="1">
        <v>2389</v>
      </c>
      <c r="E56" s="1">
        <v>4500</v>
      </c>
    </row>
    <row r="57" spans="1:5" x14ac:dyDescent="0.4">
      <c r="A57" s="1">
        <v>0</v>
      </c>
      <c r="B57" s="1">
        <v>621</v>
      </c>
      <c r="C57" s="1">
        <v>1093</v>
      </c>
      <c r="D57" s="1">
        <v>1953</v>
      </c>
      <c r="E57" s="1">
        <v>4500</v>
      </c>
    </row>
    <row r="58" spans="1:5" x14ac:dyDescent="0.4">
      <c r="A58" s="1">
        <v>0</v>
      </c>
      <c r="B58" s="1">
        <v>379</v>
      </c>
      <c r="C58" s="1">
        <v>1484</v>
      </c>
      <c r="D58" s="1">
        <v>2402</v>
      </c>
      <c r="E58" s="1">
        <v>4500</v>
      </c>
    </row>
    <row r="59" spans="1:5" x14ac:dyDescent="0.4">
      <c r="A59" s="1">
        <v>0</v>
      </c>
      <c r="B59" s="1">
        <v>621</v>
      </c>
      <c r="C59" s="1">
        <v>1093</v>
      </c>
      <c r="D59" s="1">
        <v>1953</v>
      </c>
      <c r="E59" s="1">
        <v>4500</v>
      </c>
    </row>
    <row r="60" spans="1:5" x14ac:dyDescent="0.4">
      <c r="A60" s="1">
        <v>0</v>
      </c>
      <c r="B60" s="1">
        <v>621</v>
      </c>
      <c r="C60" s="1">
        <v>1193</v>
      </c>
      <c r="D60" s="1">
        <v>1795</v>
      </c>
      <c r="E60" s="1">
        <v>4500</v>
      </c>
    </row>
    <row r="61" spans="1:5" x14ac:dyDescent="0.4">
      <c r="A61" s="1">
        <v>0</v>
      </c>
      <c r="B61" s="1">
        <v>379</v>
      </c>
      <c r="C61" s="1">
        <v>1484</v>
      </c>
      <c r="D61" s="1">
        <v>2402</v>
      </c>
      <c r="E61" s="1">
        <v>4500</v>
      </c>
    </row>
    <row r="62" spans="1:5" x14ac:dyDescent="0.4">
      <c r="A62" s="1">
        <v>0</v>
      </c>
      <c r="B62" s="1">
        <v>621</v>
      </c>
      <c r="C62" s="1">
        <v>1193</v>
      </c>
      <c r="D62" s="1">
        <v>1795</v>
      </c>
      <c r="E62" s="1">
        <v>4500</v>
      </c>
    </row>
    <row r="63" spans="1:5" x14ac:dyDescent="0.4">
      <c r="A63" s="1">
        <v>0</v>
      </c>
      <c r="B63" s="1">
        <v>509</v>
      </c>
      <c r="C63" s="1">
        <v>1502</v>
      </c>
      <c r="D63" s="1">
        <v>2389</v>
      </c>
      <c r="E63" s="1">
        <v>4500</v>
      </c>
    </row>
    <row r="64" spans="1:5" x14ac:dyDescent="0.4">
      <c r="A64" s="1">
        <v>0</v>
      </c>
      <c r="B64" s="1">
        <v>621</v>
      </c>
      <c r="C64" s="1">
        <v>1093</v>
      </c>
      <c r="D64" s="1">
        <v>1953</v>
      </c>
      <c r="E64" s="1">
        <v>4500</v>
      </c>
    </row>
    <row r="65" spans="1:5" x14ac:dyDescent="0.4">
      <c r="A65" s="1">
        <v>0</v>
      </c>
      <c r="B65" s="1">
        <v>509</v>
      </c>
      <c r="C65" s="1">
        <v>1263</v>
      </c>
      <c r="D65" s="1">
        <v>2732</v>
      </c>
      <c r="E65" s="1">
        <v>4500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Sheet5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zr zhang</dc:creator>
  <cp:lastModifiedBy>Yecheng Lv</cp:lastModifiedBy>
  <dcterms:created xsi:type="dcterms:W3CDTF">2015-06-05T18:19:34Z</dcterms:created>
  <dcterms:modified xsi:type="dcterms:W3CDTF">2026-03-05T08:58:57Z</dcterms:modified>
</cp:coreProperties>
</file>